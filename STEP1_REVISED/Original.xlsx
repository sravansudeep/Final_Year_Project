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BCFAE6B6-6DE0-4469-AAF9-7AF36F2B5F0F}" xr6:coauthVersionLast="47" xr6:coauthVersionMax="47" xr10:uidLastSave="{00000000-0000-0000-0000-000000000000}"/>
  <bookViews>
    <workbookView xWindow="1884" yWindow="1884" windowWidth="17280" windowHeight="9420" activeTab="2" xr2:uid="{00000000-000D-0000-FFFF-FFFF00000000}"/>
  </bookViews>
  <sheets>
    <sheet name="important for phd" sheetId="3" r:id="rId1"/>
    <sheet name="Sheet3" sheetId="4" r:id="rId2"/>
    <sheet name="Working_Data" sheetId="5" r:id="rId3"/>
  </sheets>
  <calcPr calcId="181029"/>
</workbook>
</file>

<file path=xl/calcChain.xml><?xml version="1.0" encoding="utf-8"?>
<calcChain xmlns="http://schemas.openxmlformats.org/spreadsheetml/2006/main">
  <c r="N84" i="3" l="1"/>
  <c r="Q54" i="3" l="1"/>
  <c r="Q85" i="3" l="1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2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31" i="3"/>
  <c r="K32" i="3"/>
  <c r="K33" i="3"/>
  <c r="K34" i="3"/>
  <c r="K35" i="3"/>
  <c r="K36" i="3"/>
  <c r="K37" i="3"/>
  <c r="K38" i="3"/>
  <c r="K39" i="3"/>
  <c r="K40" i="3"/>
  <c r="K41" i="3"/>
  <c r="K30" i="3"/>
  <c r="K42" i="3"/>
  <c r="K43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16" i="3"/>
  <c r="K15" i="3"/>
  <c r="K3" i="3"/>
  <c r="K4" i="3"/>
  <c r="K5" i="3"/>
  <c r="K6" i="3"/>
  <c r="K7" i="3"/>
  <c r="K8" i="3"/>
  <c r="K9" i="3"/>
  <c r="K10" i="3"/>
  <c r="K11" i="3"/>
  <c r="K12" i="3"/>
  <c r="K13" i="3"/>
  <c r="K14" i="3"/>
  <c r="K2" i="3"/>
  <c r="L2" i="3" s="1"/>
  <c r="G85" i="3"/>
  <c r="J85" i="3" s="1"/>
  <c r="W85" i="3" s="1"/>
  <c r="F85" i="3"/>
  <c r="E85" i="3"/>
  <c r="I85" i="3" s="1"/>
  <c r="G84" i="3"/>
  <c r="J84" i="3" s="1"/>
  <c r="W84" i="3" s="1"/>
  <c r="F84" i="3"/>
  <c r="E84" i="3"/>
  <c r="I84" i="3" s="1"/>
  <c r="G83" i="3"/>
  <c r="J83" i="3" s="1"/>
  <c r="W83" i="3" s="1"/>
  <c r="F83" i="3"/>
  <c r="E83" i="3"/>
  <c r="I83" i="3" s="1"/>
  <c r="G82" i="3"/>
  <c r="J82" i="3" s="1"/>
  <c r="W82" i="3" s="1"/>
  <c r="F82" i="3"/>
  <c r="E82" i="3"/>
  <c r="I82" i="3" s="1"/>
  <c r="G81" i="3"/>
  <c r="J81" i="3" s="1"/>
  <c r="W81" i="3" s="1"/>
  <c r="F81" i="3"/>
  <c r="E81" i="3"/>
  <c r="I81" i="3" s="1"/>
  <c r="G80" i="3"/>
  <c r="J80" i="3" s="1"/>
  <c r="W80" i="3" s="1"/>
  <c r="F80" i="3"/>
  <c r="E80" i="3"/>
  <c r="I80" i="3" s="1"/>
  <c r="G79" i="3"/>
  <c r="J79" i="3" s="1"/>
  <c r="W79" i="3" s="1"/>
  <c r="F79" i="3"/>
  <c r="E79" i="3"/>
  <c r="I79" i="3" s="1"/>
  <c r="G78" i="3"/>
  <c r="J78" i="3" s="1"/>
  <c r="W78" i="3" s="1"/>
  <c r="F78" i="3"/>
  <c r="E78" i="3"/>
  <c r="I78" i="3" s="1"/>
  <c r="G77" i="3"/>
  <c r="J77" i="3" s="1"/>
  <c r="W77" i="3" s="1"/>
  <c r="F77" i="3"/>
  <c r="E77" i="3"/>
  <c r="I77" i="3" s="1"/>
  <c r="G76" i="3"/>
  <c r="J76" i="3" s="1"/>
  <c r="W76" i="3" s="1"/>
  <c r="F76" i="3"/>
  <c r="E76" i="3"/>
  <c r="I76" i="3" s="1"/>
  <c r="G75" i="3"/>
  <c r="J75" i="3" s="1"/>
  <c r="W75" i="3" s="1"/>
  <c r="F75" i="3"/>
  <c r="E75" i="3"/>
  <c r="I75" i="3" s="1"/>
  <c r="G74" i="3"/>
  <c r="J74" i="3" s="1"/>
  <c r="W74" i="3" s="1"/>
  <c r="F74" i="3"/>
  <c r="E74" i="3"/>
  <c r="I74" i="3" s="1"/>
  <c r="G73" i="3"/>
  <c r="J73" i="3" s="1"/>
  <c r="W73" i="3" s="1"/>
  <c r="F73" i="3"/>
  <c r="E73" i="3"/>
  <c r="I73" i="3" s="1"/>
  <c r="G72" i="3"/>
  <c r="J72" i="3" s="1"/>
  <c r="W72" i="3" s="1"/>
  <c r="F72" i="3"/>
  <c r="E72" i="3"/>
  <c r="I72" i="3" s="1"/>
  <c r="G71" i="3"/>
  <c r="J71" i="3" s="1"/>
  <c r="W71" i="3" s="1"/>
  <c r="F71" i="3"/>
  <c r="E71" i="3"/>
  <c r="I71" i="3" s="1"/>
  <c r="G70" i="3"/>
  <c r="J70" i="3" s="1"/>
  <c r="W70" i="3" s="1"/>
  <c r="F70" i="3"/>
  <c r="E70" i="3"/>
  <c r="I70" i="3" s="1"/>
  <c r="G69" i="3"/>
  <c r="J69" i="3" s="1"/>
  <c r="W69" i="3" s="1"/>
  <c r="F69" i="3"/>
  <c r="E69" i="3"/>
  <c r="I69" i="3" s="1"/>
  <c r="G68" i="3"/>
  <c r="J68" i="3" s="1"/>
  <c r="W68" i="3" s="1"/>
  <c r="F68" i="3"/>
  <c r="E68" i="3"/>
  <c r="I68" i="3" s="1"/>
  <c r="G67" i="3"/>
  <c r="J67" i="3" s="1"/>
  <c r="W67" i="3" s="1"/>
  <c r="F67" i="3"/>
  <c r="E67" i="3"/>
  <c r="I67" i="3" s="1"/>
  <c r="G66" i="3"/>
  <c r="J66" i="3" s="1"/>
  <c r="W66" i="3" s="1"/>
  <c r="F66" i="3"/>
  <c r="E66" i="3"/>
  <c r="I66" i="3" s="1"/>
  <c r="G65" i="3"/>
  <c r="J65" i="3" s="1"/>
  <c r="W65" i="3" s="1"/>
  <c r="F65" i="3"/>
  <c r="E65" i="3"/>
  <c r="I65" i="3" s="1"/>
  <c r="G64" i="3"/>
  <c r="J64" i="3" s="1"/>
  <c r="W64" i="3" s="1"/>
  <c r="F64" i="3"/>
  <c r="E64" i="3"/>
  <c r="I64" i="3" s="1"/>
  <c r="G63" i="3"/>
  <c r="J63" i="3" s="1"/>
  <c r="W63" i="3" s="1"/>
  <c r="F63" i="3"/>
  <c r="E63" i="3"/>
  <c r="I63" i="3" s="1"/>
  <c r="G62" i="3"/>
  <c r="J62" i="3" s="1"/>
  <c r="W62" i="3" s="1"/>
  <c r="F62" i="3"/>
  <c r="E62" i="3"/>
  <c r="I62" i="3" s="1"/>
  <c r="G61" i="3"/>
  <c r="J61" i="3" s="1"/>
  <c r="W61" i="3" s="1"/>
  <c r="F61" i="3"/>
  <c r="E61" i="3"/>
  <c r="I61" i="3" s="1"/>
  <c r="G60" i="3"/>
  <c r="J60" i="3" s="1"/>
  <c r="W60" i="3" s="1"/>
  <c r="F60" i="3"/>
  <c r="E60" i="3"/>
  <c r="I60" i="3" s="1"/>
  <c r="G59" i="3"/>
  <c r="J59" i="3" s="1"/>
  <c r="W59" i="3" s="1"/>
  <c r="F59" i="3"/>
  <c r="E59" i="3"/>
  <c r="I59" i="3" s="1"/>
  <c r="G58" i="3"/>
  <c r="J58" i="3" s="1"/>
  <c r="W58" i="3" s="1"/>
  <c r="F58" i="3"/>
  <c r="E58" i="3"/>
  <c r="I58" i="3" s="1"/>
  <c r="G57" i="3"/>
  <c r="J57" i="3" s="1"/>
  <c r="W57" i="3" s="1"/>
  <c r="F57" i="3"/>
  <c r="E57" i="3"/>
  <c r="I57" i="3" s="1"/>
  <c r="G56" i="3"/>
  <c r="J56" i="3" s="1"/>
  <c r="W56" i="3" s="1"/>
  <c r="F56" i="3"/>
  <c r="E56" i="3"/>
  <c r="I56" i="3" s="1"/>
  <c r="G55" i="3"/>
  <c r="J55" i="3" s="1"/>
  <c r="W55" i="3" s="1"/>
  <c r="F55" i="3"/>
  <c r="E55" i="3"/>
  <c r="I55" i="3" s="1"/>
  <c r="G54" i="3"/>
  <c r="J54" i="3" s="1"/>
  <c r="W54" i="3" s="1"/>
  <c r="F54" i="3"/>
  <c r="E54" i="3"/>
  <c r="I54" i="3" s="1"/>
  <c r="G53" i="3"/>
  <c r="J53" i="3" s="1"/>
  <c r="W53" i="3" s="1"/>
  <c r="F53" i="3"/>
  <c r="E53" i="3"/>
  <c r="I53" i="3" s="1"/>
  <c r="G52" i="3"/>
  <c r="J52" i="3" s="1"/>
  <c r="W52" i="3" s="1"/>
  <c r="F52" i="3"/>
  <c r="E52" i="3"/>
  <c r="I52" i="3" s="1"/>
  <c r="G51" i="3"/>
  <c r="J51" i="3" s="1"/>
  <c r="W51" i="3" s="1"/>
  <c r="F51" i="3"/>
  <c r="E51" i="3"/>
  <c r="I51" i="3" s="1"/>
  <c r="G50" i="3"/>
  <c r="J50" i="3" s="1"/>
  <c r="W50" i="3" s="1"/>
  <c r="F50" i="3"/>
  <c r="E50" i="3"/>
  <c r="I50" i="3" s="1"/>
  <c r="G49" i="3"/>
  <c r="J49" i="3" s="1"/>
  <c r="W49" i="3" s="1"/>
  <c r="F49" i="3"/>
  <c r="E49" i="3"/>
  <c r="I49" i="3" s="1"/>
  <c r="G48" i="3"/>
  <c r="J48" i="3" s="1"/>
  <c r="W48" i="3" s="1"/>
  <c r="F48" i="3"/>
  <c r="E48" i="3"/>
  <c r="I48" i="3" s="1"/>
  <c r="G47" i="3"/>
  <c r="J47" i="3" s="1"/>
  <c r="W47" i="3" s="1"/>
  <c r="F47" i="3"/>
  <c r="E47" i="3"/>
  <c r="I47" i="3" s="1"/>
  <c r="G46" i="3"/>
  <c r="J46" i="3" s="1"/>
  <c r="W46" i="3" s="1"/>
  <c r="F46" i="3"/>
  <c r="E46" i="3"/>
  <c r="I46" i="3" s="1"/>
  <c r="G45" i="3"/>
  <c r="J45" i="3" s="1"/>
  <c r="W45" i="3" s="1"/>
  <c r="F45" i="3"/>
  <c r="E45" i="3"/>
  <c r="I45" i="3" s="1"/>
  <c r="G44" i="3"/>
  <c r="J44" i="3" s="1"/>
  <c r="W44" i="3" s="1"/>
  <c r="F44" i="3"/>
  <c r="E44" i="3"/>
  <c r="I44" i="3" s="1"/>
  <c r="G43" i="3"/>
  <c r="J43" i="3" s="1"/>
  <c r="W43" i="3" s="1"/>
  <c r="F43" i="3"/>
  <c r="E43" i="3"/>
  <c r="I43" i="3" s="1"/>
  <c r="G42" i="3"/>
  <c r="J42" i="3" s="1"/>
  <c r="W42" i="3" s="1"/>
  <c r="F42" i="3"/>
  <c r="E42" i="3"/>
  <c r="I42" i="3" s="1"/>
  <c r="G41" i="3"/>
  <c r="J41" i="3" s="1"/>
  <c r="W41" i="3" s="1"/>
  <c r="F41" i="3"/>
  <c r="E41" i="3"/>
  <c r="I41" i="3" s="1"/>
  <c r="G40" i="3"/>
  <c r="J40" i="3" s="1"/>
  <c r="W40" i="3" s="1"/>
  <c r="F40" i="3"/>
  <c r="E40" i="3"/>
  <c r="I40" i="3" s="1"/>
  <c r="G39" i="3"/>
  <c r="J39" i="3" s="1"/>
  <c r="W39" i="3" s="1"/>
  <c r="F39" i="3"/>
  <c r="E39" i="3"/>
  <c r="I39" i="3" s="1"/>
  <c r="G38" i="3"/>
  <c r="J38" i="3" s="1"/>
  <c r="W38" i="3" s="1"/>
  <c r="F38" i="3"/>
  <c r="E38" i="3"/>
  <c r="I38" i="3" s="1"/>
  <c r="G37" i="3"/>
  <c r="J37" i="3" s="1"/>
  <c r="W37" i="3" s="1"/>
  <c r="F37" i="3"/>
  <c r="E37" i="3"/>
  <c r="I37" i="3" s="1"/>
  <c r="G36" i="3"/>
  <c r="J36" i="3" s="1"/>
  <c r="W36" i="3" s="1"/>
  <c r="F36" i="3"/>
  <c r="E36" i="3"/>
  <c r="I36" i="3" s="1"/>
  <c r="G35" i="3"/>
  <c r="J35" i="3" s="1"/>
  <c r="W35" i="3" s="1"/>
  <c r="F35" i="3"/>
  <c r="E35" i="3"/>
  <c r="I35" i="3" s="1"/>
  <c r="G34" i="3"/>
  <c r="J34" i="3" s="1"/>
  <c r="W34" i="3" s="1"/>
  <c r="F34" i="3"/>
  <c r="E34" i="3"/>
  <c r="I34" i="3" s="1"/>
  <c r="G33" i="3"/>
  <c r="J33" i="3" s="1"/>
  <c r="W33" i="3" s="1"/>
  <c r="F33" i="3"/>
  <c r="E33" i="3"/>
  <c r="I33" i="3" s="1"/>
  <c r="G32" i="3"/>
  <c r="J32" i="3" s="1"/>
  <c r="W32" i="3" s="1"/>
  <c r="F32" i="3"/>
  <c r="E32" i="3"/>
  <c r="I32" i="3" s="1"/>
  <c r="G31" i="3"/>
  <c r="J31" i="3" s="1"/>
  <c r="W31" i="3" s="1"/>
  <c r="F31" i="3"/>
  <c r="E31" i="3"/>
  <c r="I31" i="3" s="1"/>
  <c r="G30" i="3"/>
  <c r="J30" i="3" s="1"/>
  <c r="W30" i="3" s="1"/>
  <c r="F30" i="3"/>
  <c r="E30" i="3"/>
  <c r="I30" i="3" s="1"/>
  <c r="G29" i="3"/>
  <c r="J29" i="3" s="1"/>
  <c r="W29" i="3" s="1"/>
  <c r="F29" i="3"/>
  <c r="E29" i="3"/>
  <c r="I29" i="3" s="1"/>
  <c r="G28" i="3"/>
  <c r="J28" i="3" s="1"/>
  <c r="W28" i="3" s="1"/>
  <c r="F28" i="3"/>
  <c r="E28" i="3"/>
  <c r="I28" i="3" s="1"/>
  <c r="G27" i="3"/>
  <c r="J27" i="3" s="1"/>
  <c r="W27" i="3" s="1"/>
  <c r="F27" i="3"/>
  <c r="E27" i="3"/>
  <c r="I27" i="3" s="1"/>
  <c r="G26" i="3"/>
  <c r="J26" i="3" s="1"/>
  <c r="W26" i="3" s="1"/>
  <c r="F26" i="3"/>
  <c r="E26" i="3"/>
  <c r="I26" i="3" s="1"/>
  <c r="G25" i="3"/>
  <c r="J25" i="3" s="1"/>
  <c r="W25" i="3" s="1"/>
  <c r="F25" i="3"/>
  <c r="E25" i="3"/>
  <c r="I25" i="3" s="1"/>
  <c r="G24" i="3"/>
  <c r="J24" i="3" s="1"/>
  <c r="W24" i="3" s="1"/>
  <c r="F24" i="3"/>
  <c r="E24" i="3"/>
  <c r="I24" i="3" s="1"/>
  <c r="G23" i="3"/>
  <c r="J23" i="3" s="1"/>
  <c r="W23" i="3" s="1"/>
  <c r="F23" i="3"/>
  <c r="E23" i="3"/>
  <c r="I23" i="3" s="1"/>
  <c r="G22" i="3"/>
  <c r="J22" i="3" s="1"/>
  <c r="W22" i="3" s="1"/>
  <c r="F22" i="3"/>
  <c r="E22" i="3"/>
  <c r="I22" i="3" s="1"/>
  <c r="G21" i="3"/>
  <c r="J21" i="3" s="1"/>
  <c r="W21" i="3" s="1"/>
  <c r="F21" i="3"/>
  <c r="E21" i="3"/>
  <c r="I21" i="3" s="1"/>
  <c r="G20" i="3"/>
  <c r="J20" i="3" s="1"/>
  <c r="W20" i="3" s="1"/>
  <c r="F20" i="3"/>
  <c r="E20" i="3"/>
  <c r="I20" i="3" s="1"/>
  <c r="G19" i="3"/>
  <c r="J19" i="3" s="1"/>
  <c r="W19" i="3" s="1"/>
  <c r="F19" i="3"/>
  <c r="E19" i="3"/>
  <c r="I19" i="3" s="1"/>
  <c r="G18" i="3"/>
  <c r="J18" i="3" s="1"/>
  <c r="W18" i="3" s="1"/>
  <c r="F18" i="3"/>
  <c r="E18" i="3"/>
  <c r="I18" i="3" s="1"/>
  <c r="G17" i="3"/>
  <c r="J17" i="3" s="1"/>
  <c r="W17" i="3" s="1"/>
  <c r="F17" i="3"/>
  <c r="E17" i="3"/>
  <c r="I17" i="3" s="1"/>
  <c r="G16" i="3"/>
  <c r="J16" i="3" s="1"/>
  <c r="W16" i="3" s="1"/>
  <c r="F16" i="3"/>
  <c r="E16" i="3"/>
  <c r="I16" i="3" s="1"/>
  <c r="G15" i="3"/>
  <c r="J15" i="3" s="1"/>
  <c r="W15" i="3" s="1"/>
  <c r="F15" i="3"/>
  <c r="E15" i="3"/>
  <c r="I15" i="3" s="1"/>
  <c r="G14" i="3"/>
  <c r="J14" i="3" s="1"/>
  <c r="W14" i="3" s="1"/>
  <c r="F14" i="3"/>
  <c r="E14" i="3"/>
  <c r="I14" i="3" s="1"/>
  <c r="G13" i="3"/>
  <c r="J13" i="3" s="1"/>
  <c r="W13" i="3" s="1"/>
  <c r="F13" i="3"/>
  <c r="E13" i="3"/>
  <c r="I13" i="3" s="1"/>
  <c r="G12" i="3"/>
  <c r="J12" i="3" s="1"/>
  <c r="W12" i="3" s="1"/>
  <c r="F12" i="3"/>
  <c r="E12" i="3"/>
  <c r="I12" i="3" s="1"/>
  <c r="G11" i="3"/>
  <c r="J11" i="3" s="1"/>
  <c r="W11" i="3" s="1"/>
  <c r="F11" i="3"/>
  <c r="E11" i="3"/>
  <c r="I11" i="3" s="1"/>
  <c r="G10" i="3"/>
  <c r="J10" i="3" s="1"/>
  <c r="W10" i="3" s="1"/>
  <c r="F10" i="3"/>
  <c r="E10" i="3"/>
  <c r="I10" i="3" s="1"/>
  <c r="G9" i="3"/>
  <c r="J9" i="3" s="1"/>
  <c r="W9" i="3" s="1"/>
  <c r="F9" i="3"/>
  <c r="E9" i="3"/>
  <c r="I9" i="3" s="1"/>
  <c r="G8" i="3"/>
  <c r="J8" i="3" s="1"/>
  <c r="W8" i="3" s="1"/>
  <c r="F8" i="3"/>
  <c r="E8" i="3"/>
  <c r="I8" i="3" s="1"/>
  <c r="G7" i="3"/>
  <c r="J7" i="3" s="1"/>
  <c r="W7" i="3" s="1"/>
  <c r="F7" i="3"/>
  <c r="E7" i="3"/>
  <c r="I7" i="3" s="1"/>
  <c r="G6" i="3"/>
  <c r="J6" i="3" s="1"/>
  <c r="W6" i="3" s="1"/>
  <c r="F6" i="3"/>
  <c r="E6" i="3"/>
  <c r="I6" i="3" s="1"/>
  <c r="G5" i="3"/>
  <c r="J5" i="3" s="1"/>
  <c r="W5" i="3" s="1"/>
  <c r="F5" i="3"/>
  <c r="E5" i="3"/>
  <c r="I5" i="3" s="1"/>
  <c r="G4" i="3"/>
  <c r="J4" i="3" s="1"/>
  <c r="W4" i="3" s="1"/>
  <c r="F4" i="3"/>
  <c r="E4" i="3"/>
  <c r="I4" i="3" s="1"/>
  <c r="G3" i="3"/>
  <c r="J3" i="3" s="1"/>
  <c r="W3" i="3" s="1"/>
  <c r="F3" i="3"/>
  <c r="E3" i="3"/>
  <c r="I3" i="3" s="1"/>
  <c r="G2" i="3"/>
  <c r="J2" i="3" s="1"/>
  <c r="W2" i="3" s="1"/>
  <c r="F2" i="3"/>
  <c r="E2" i="3"/>
  <c r="I2" i="3" s="1"/>
  <c r="N73" i="3" l="1"/>
  <c r="M73" i="3"/>
  <c r="M74" i="3"/>
  <c r="N74" i="3"/>
  <c r="M75" i="3"/>
  <c r="N75" i="3"/>
  <c r="M76" i="3"/>
  <c r="N76" i="3"/>
  <c r="M77" i="3"/>
  <c r="N77" i="3"/>
  <c r="M78" i="3"/>
  <c r="N78" i="3"/>
  <c r="M79" i="3"/>
  <c r="N79" i="3"/>
  <c r="N80" i="3"/>
  <c r="M80" i="3"/>
  <c r="M81" i="3"/>
  <c r="N81" i="3"/>
  <c r="M82" i="3"/>
  <c r="N82" i="3"/>
  <c r="N83" i="3"/>
  <c r="M83" i="3"/>
  <c r="M84" i="3"/>
  <c r="M85" i="3"/>
  <c r="N85" i="3"/>
  <c r="N59" i="3"/>
  <c r="M59" i="3"/>
  <c r="M60" i="3"/>
  <c r="N60" i="3"/>
  <c r="N61" i="3"/>
  <c r="M61" i="3"/>
  <c r="M62" i="3"/>
  <c r="N62" i="3"/>
  <c r="M63" i="3"/>
  <c r="N63" i="3"/>
  <c r="N64" i="3"/>
  <c r="M64" i="3"/>
  <c r="M65" i="3"/>
  <c r="N65" i="3"/>
  <c r="M66" i="3"/>
  <c r="N66" i="3"/>
  <c r="M67" i="3"/>
  <c r="N67" i="3"/>
  <c r="N68" i="3"/>
  <c r="M68" i="3"/>
  <c r="M69" i="3"/>
  <c r="N69" i="3"/>
  <c r="N70" i="3"/>
  <c r="M70" i="3"/>
  <c r="M71" i="3"/>
  <c r="N71" i="3"/>
  <c r="N45" i="3"/>
  <c r="M45" i="3"/>
  <c r="M46" i="3"/>
  <c r="N46" i="3"/>
  <c r="M47" i="3"/>
  <c r="N47" i="3"/>
  <c r="M48" i="3"/>
  <c r="N48" i="3"/>
  <c r="N49" i="3"/>
  <c r="M49" i="3"/>
  <c r="N50" i="3"/>
  <c r="M50" i="3"/>
  <c r="N51" i="3"/>
  <c r="M51" i="3"/>
  <c r="M52" i="3"/>
  <c r="N52" i="3"/>
  <c r="N53" i="3"/>
  <c r="M53" i="3"/>
  <c r="M54" i="3"/>
  <c r="N54" i="3"/>
  <c r="P54" i="3" s="1"/>
  <c r="N55" i="3"/>
  <c r="M55" i="3"/>
  <c r="M56" i="3"/>
  <c r="N56" i="3"/>
  <c r="N57" i="3"/>
  <c r="M57" i="3"/>
  <c r="M31" i="3"/>
  <c r="N31" i="3"/>
  <c r="M32" i="3"/>
  <c r="N32" i="3"/>
  <c r="M33" i="3"/>
  <c r="N33" i="3"/>
  <c r="M34" i="3"/>
  <c r="N34" i="3"/>
  <c r="M35" i="3"/>
  <c r="N35" i="3"/>
  <c r="M36" i="3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M43" i="3"/>
  <c r="N43" i="3"/>
  <c r="N17" i="3"/>
  <c r="M17" i="3"/>
  <c r="M18" i="3"/>
  <c r="N18" i="3"/>
  <c r="M19" i="3"/>
  <c r="N19" i="3"/>
  <c r="M20" i="3"/>
  <c r="N20" i="3"/>
  <c r="M21" i="3"/>
  <c r="N21" i="3"/>
  <c r="M22" i="3"/>
  <c r="N22" i="3"/>
  <c r="M23" i="3"/>
  <c r="N23" i="3"/>
  <c r="M24" i="3"/>
  <c r="N24" i="3"/>
  <c r="M25" i="3"/>
  <c r="N25" i="3"/>
  <c r="M26" i="3"/>
  <c r="N26" i="3"/>
  <c r="M27" i="3"/>
  <c r="N27" i="3"/>
  <c r="M28" i="3"/>
  <c r="N28" i="3"/>
  <c r="M29" i="3"/>
  <c r="N29" i="3"/>
  <c r="N15" i="3"/>
  <c r="M15" i="3"/>
  <c r="N3" i="3"/>
  <c r="M3" i="3"/>
  <c r="N4" i="3"/>
  <c r="M4" i="3"/>
  <c r="N5" i="3"/>
  <c r="M5" i="3"/>
  <c r="N6" i="3"/>
  <c r="M6" i="3"/>
  <c r="N7" i="3"/>
  <c r="M7" i="3"/>
  <c r="M8" i="3"/>
  <c r="N8" i="3"/>
  <c r="N9" i="3"/>
  <c r="M9" i="3"/>
  <c r="M10" i="3"/>
  <c r="N10" i="3"/>
  <c r="N11" i="3"/>
  <c r="M11" i="3"/>
  <c r="N12" i="3"/>
  <c r="M12" i="3"/>
  <c r="N13" i="3"/>
  <c r="M13" i="3"/>
  <c r="N14" i="3"/>
  <c r="M14" i="3"/>
  <c r="O31" i="3"/>
  <c r="P31" i="3"/>
  <c r="O35" i="3"/>
  <c r="P35" i="3"/>
  <c r="O39" i="3"/>
  <c r="P39" i="3"/>
  <c r="L26" i="3"/>
  <c r="L25" i="3"/>
  <c r="L29" i="3"/>
  <c r="L24" i="3"/>
  <c r="L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7" i="3"/>
  <c r="L46" i="3"/>
  <c r="L51" i="3"/>
  <c r="L54" i="3"/>
  <c r="L59" i="3"/>
  <c r="L62" i="3"/>
  <c r="L66" i="3"/>
  <c r="L70" i="3"/>
  <c r="L75" i="3"/>
  <c r="L79" i="3"/>
  <c r="L83" i="3"/>
  <c r="L44" i="3"/>
  <c r="L45" i="3"/>
  <c r="L48" i="3"/>
  <c r="L50" i="3"/>
  <c r="L53" i="3"/>
  <c r="L55" i="3"/>
  <c r="L57" i="3"/>
  <c r="L61" i="3"/>
  <c r="L64" i="3"/>
  <c r="L68" i="3"/>
  <c r="L71" i="3"/>
  <c r="L73" i="3"/>
  <c r="L76" i="3"/>
  <c r="L78" i="3"/>
  <c r="L82" i="3"/>
  <c r="L85" i="3"/>
  <c r="L43" i="3"/>
  <c r="L47" i="3"/>
  <c r="L49" i="3"/>
  <c r="L52" i="3"/>
  <c r="L56" i="3"/>
  <c r="L58" i="3"/>
  <c r="L60" i="3"/>
  <c r="L63" i="3"/>
  <c r="L65" i="3"/>
  <c r="L67" i="3"/>
  <c r="L69" i="3"/>
  <c r="L72" i="3"/>
  <c r="L74" i="3"/>
  <c r="L77" i="3"/>
  <c r="L80" i="3"/>
  <c r="L81" i="3"/>
  <c r="L84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X54" i="3" l="1"/>
  <c r="Y54" i="3" s="1"/>
  <c r="R54" i="3"/>
  <c r="R31" i="3"/>
  <c r="X31" i="3"/>
  <c r="Y31" i="3" s="1"/>
  <c r="R35" i="3"/>
  <c r="X35" i="3"/>
  <c r="Y35" i="3" s="1"/>
  <c r="R39" i="3"/>
  <c r="X39" i="3"/>
  <c r="Y39" i="3" s="1"/>
  <c r="O28" i="3"/>
  <c r="P28" i="3"/>
  <c r="O41" i="3"/>
  <c r="P41" i="3"/>
  <c r="O32" i="3"/>
  <c r="P32" i="3"/>
  <c r="O81" i="3"/>
  <c r="P81" i="3"/>
  <c r="O77" i="3"/>
  <c r="P77" i="3"/>
  <c r="O72" i="3"/>
  <c r="P72" i="3"/>
  <c r="O67" i="3"/>
  <c r="P67" i="3"/>
  <c r="O63" i="3"/>
  <c r="P63" i="3"/>
  <c r="O58" i="3"/>
  <c r="P58" i="3"/>
  <c r="O52" i="3"/>
  <c r="P52" i="3"/>
  <c r="O47" i="3"/>
  <c r="P47" i="3"/>
  <c r="O85" i="3"/>
  <c r="P85" i="3"/>
  <c r="O78" i="3"/>
  <c r="P78" i="3"/>
  <c r="O73" i="3"/>
  <c r="P73" i="3"/>
  <c r="O68" i="3"/>
  <c r="P68" i="3"/>
  <c r="O61" i="3"/>
  <c r="P61" i="3"/>
  <c r="O55" i="3"/>
  <c r="P55" i="3"/>
  <c r="O50" i="3"/>
  <c r="P50" i="3"/>
  <c r="O45" i="3"/>
  <c r="P45" i="3"/>
  <c r="O83" i="3"/>
  <c r="P83" i="3"/>
  <c r="O75" i="3"/>
  <c r="P75" i="3"/>
  <c r="O66" i="3"/>
  <c r="P66" i="3"/>
  <c r="O59" i="3"/>
  <c r="P59" i="3"/>
  <c r="O51" i="3"/>
  <c r="P51" i="3"/>
  <c r="O27" i="3"/>
  <c r="P27" i="3"/>
  <c r="O22" i="3"/>
  <c r="P22" i="3"/>
  <c r="O20" i="3"/>
  <c r="P20" i="3"/>
  <c r="O18" i="3"/>
  <c r="P18" i="3"/>
  <c r="O16" i="3"/>
  <c r="P16" i="3"/>
  <c r="O14" i="3"/>
  <c r="P14" i="3"/>
  <c r="O12" i="3"/>
  <c r="P12" i="3"/>
  <c r="O10" i="3"/>
  <c r="P10" i="3"/>
  <c r="O8" i="3"/>
  <c r="P8" i="3"/>
  <c r="O6" i="3"/>
  <c r="P6" i="3"/>
  <c r="O4" i="3"/>
  <c r="P4" i="3"/>
  <c r="O2" i="3"/>
  <c r="P2" i="3"/>
  <c r="O24" i="3"/>
  <c r="P24" i="3"/>
  <c r="O25" i="3"/>
  <c r="P25" i="3"/>
  <c r="O42" i="3"/>
  <c r="P42" i="3"/>
  <c r="O36" i="3"/>
  <c r="P36" i="3"/>
  <c r="O30" i="3"/>
  <c r="P30" i="3"/>
  <c r="O84" i="3"/>
  <c r="P84" i="3"/>
  <c r="O80" i="3"/>
  <c r="P80" i="3"/>
  <c r="O74" i="3"/>
  <c r="P74" i="3"/>
  <c r="O69" i="3"/>
  <c r="P69" i="3"/>
  <c r="O65" i="3"/>
  <c r="P65" i="3"/>
  <c r="O60" i="3"/>
  <c r="P60" i="3"/>
  <c r="O56" i="3"/>
  <c r="P56" i="3"/>
  <c r="O49" i="3"/>
  <c r="P49" i="3"/>
  <c r="O43" i="3"/>
  <c r="P43" i="3"/>
  <c r="O82" i="3"/>
  <c r="S12" i="3" s="1"/>
  <c r="T12" i="3" s="1"/>
  <c r="P82" i="3"/>
  <c r="O76" i="3"/>
  <c r="S6" i="3" s="1"/>
  <c r="T6" i="3" s="1"/>
  <c r="P76" i="3"/>
  <c r="O71" i="3"/>
  <c r="P71" i="3"/>
  <c r="O64" i="3"/>
  <c r="P64" i="3"/>
  <c r="O57" i="3"/>
  <c r="P57" i="3"/>
  <c r="O53" i="3"/>
  <c r="P53" i="3"/>
  <c r="O48" i="3"/>
  <c r="P48" i="3"/>
  <c r="O44" i="3"/>
  <c r="P44" i="3"/>
  <c r="O79" i="3"/>
  <c r="P79" i="3"/>
  <c r="O70" i="3"/>
  <c r="P70" i="3"/>
  <c r="O62" i="3"/>
  <c r="P62" i="3"/>
  <c r="O54" i="3"/>
  <c r="O46" i="3"/>
  <c r="P46" i="3"/>
  <c r="O23" i="3"/>
  <c r="P23" i="3"/>
  <c r="O21" i="3"/>
  <c r="P21" i="3"/>
  <c r="O19" i="3"/>
  <c r="P19" i="3"/>
  <c r="O17" i="3"/>
  <c r="P17" i="3"/>
  <c r="O15" i="3"/>
  <c r="P15" i="3"/>
  <c r="O13" i="3"/>
  <c r="P13" i="3"/>
  <c r="O11" i="3"/>
  <c r="P11" i="3"/>
  <c r="O9" i="3"/>
  <c r="P9" i="3"/>
  <c r="O7" i="3"/>
  <c r="P7" i="3"/>
  <c r="O5" i="3"/>
  <c r="P5" i="3"/>
  <c r="O3" i="3"/>
  <c r="P3" i="3"/>
  <c r="O29" i="3"/>
  <c r="P29" i="3"/>
  <c r="O26" i="3"/>
  <c r="P26" i="3"/>
  <c r="O37" i="3"/>
  <c r="P37" i="3"/>
  <c r="O38" i="3"/>
  <c r="P38" i="3"/>
  <c r="O40" i="3"/>
  <c r="P40" i="3"/>
  <c r="O33" i="3"/>
  <c r="P33" i="3"/>
  <c r="O34" i="3"/>
  <c r="P34" i="3"/>
  <c r="S14" i="3" l="1"/>
  <c r="T14" i="3" s="1"/>
  <c r="R28" i="3"/>
  <c r="X28" i="3"/>
  <c r="Y28" i="3" s="1"/>
  <c r="R41" i="3"/>
  <c r="X41" i="3"/>
  <c r="Y41" i="3" s="1"/>
  <c r="R32" i="3"/>
  <c r="X32" i="3"/>
  <c r="Y32" i="3" s="1"/>
  <c r="R81" i="3"/>
  <c r="X81" i="3"/>
  <c r="Y81" i="3" s="1"/>
  <c r="R77" i="3"/>
  <c r="X77" i="3"/>
  <c r="Y77" i="3" s="1"/>
  <c r="R72" i="3"/>
  <c r="X72" i="3"/>
  <c r="Y72" i="3" s="1"/>
  <c r="R67" i="3"/>
  <c r="X67" i="3"/>
  <c r="Y67" i="3" s="1"/>
  <c r="R63" i="3"/>
  <c r="X63" i="3"/>
  <c r="Y63" i="3" s="1"/>
  <c r="R58" i="3"/>
  <c r="X58" i="3"/>
  <c r="Y58" i="3" s="1"/>
  <c r="R52" i="3"/>
  <c r="X52" i="3"/>
  <c r="Y52" i="3" s="1"/>
  <c r="R47" i="3"/>
  <c r="X47" i="3"/>
  <c r="Y47" i="3" s="1"/>
  <c r="R85" i="3"/>
  <c r="X85" i="3"/>
  <c r="Y85" i="3" s="1"/>
  <c r="R78" i="3"/>
  <c r="X78" i="3"/>
  <c r="Y78" i="3" s="1"/>
  <c r="R73" i="3"/>
  <c r="X73" i="3"/>
  <c r="Y73" i="3" s="1"/>
  <c r="R68" i="3"/>
  <c r="X68" i="3"/>
  <c r="Y68" i="3" s="1"/>
  <c r="R61" i="3"/>
  <c r="X61" i="3"/>
  <c r="Y61" i="3" s="1"/>
  <c r="R55" i="3"/>
  <c r="X55" i="3"/>
  <c r="Y55" i="3" s="1"/>
  <c r="R50" i="3"/>
  <c r="X50" i="3"/>
  <c r="Y50" i="3" s="1"/>
  <c r="R45" i="3"/>
  <c r="X45" i="3"/>
  <c r="Y45" i="3" s="1"/>
  <c r="R83" i="3"/>
  <c r="X83" i="3"/>
  <c r="Y83" i="3" s="1"/>
  <c r="R75" i="3"/>
  <c r="X75" i="3"/>
  <c r="Y75" i="3" s="1"/>
  <c r="R66" i="3"/>
  <c r="X66" i="3"/>
  <c r="Y66" i="3" s="1"/>
  <c r="R59" i="3"/>
  <c r="X59" i="3"/>
  <c r="Y59" i="3" s="1"/>
  <c r="R51" i="3"/>
  <c r="X51" i="3"/>
  <c r="Y51" i="3" s="1"/>
  <c r="R27" i="3"/>
  <c r="X27" i="3"/>
  <c r="Y27" i="3" s="1"/>
  <c r="R22" i="3"/>
  <c r="X22" i="3"/>
  <c r="Y22" i="3" s="1"/>
  <c r="R20" i="3"/>
  <c r="X20" i="3"/>
  <c r="Y20" i="3" s="1"/>
  <c r="R18" i="3"/>
  <c r="X18" i="3"/>
  <c r="Y18" i="3" s="1"/>
  <c r="R16" i="3"/>
  <c r="X16" i="3"/>
  <c r="Y16" i="3" s="1"/>
  <c r="R14" i="3"/>
  <c r="X14" i="3"/>
  <c r="Y14" i="3" s="1"/>
  <c r="R12" i="3"/>
  <c r="X12" i="3"/>
  <c r="Y12" i="3" s="1"/>
  <c r="R10" i="3"/>
  <c r="X10" i="3"/>
  <c r="Y10" i="3" s="1"/>
  <c r="R8" i="3"/>
  <c r="X8" i="3"/>
  <c r="Y8" i="3" s="1"/>
  <c r="R6" i="3"/>
  <c r="X6" i="3"/>
  <c r="Y6" i="3" s="1"/>
  <c r="R4" i="3"/>
  <c r="X4" i="3"/>
  <c r="Y4" i="3" s="1"/>
  <c r="R2" i="3"/>
  <c r="X2" i="3"/>
  <c r="Y2" i="3" s="1"/>
  <c r="R24" i="3"/>
  <c r="X24" i="3"/>
  <c r="Y24" i="3" s="1"/>
  <c r="R25" i="3"/>
  <c r="X25" i="3"/>
  <c r="Y25" i="3" s="1"/>
  <c r="R42" i="3"/>
  <c r="X42" i="3"/>
  <c r="Y42" i="3" s="1"/>
  <c r="R36" i="3"/>
  <c r="X36" i="3"/>
  <c r="Y36" i="3" s="1"/>
  <c r="R30" i="3"/>
  <c r="X30" i="3"/>
  <c r="Y30" i="3" s="1"/>
  <c r="R84" i="3"/>
  <c r="X84" i="3"/>
  <c r="Y84" i="3" s="1"/>
  <c r="R80" i="3"/>
  <c r="X80" i="3"/>
  <c r="Y80" i="3" s="1"/>
  <c r="R74" i="3"/>
  <c r="X74" i="3"/>
  <c r="Y74" i="3" s="1"/>
  <c r="R69" i="3"/>
  <c r="X69" i="3"/>
  <c r="Y69" i="3" s="1"/>
  <c r="R65" i="3"/>
  <c r="X65" i="3"/>
  <c r="Y65" i="3" s="1"/>
  <c r="R60" i="3"/>
  <c r="X60" i="3"/>
  <c r="Y60" i="3" s="1"/>
  <c r="R56" i="3"/>
  <c r="X56" i="3"/>
  <c r="Y56" i="3" s="1"/>
  <c r="R49" i="3"/>
  <c r="X49" i="3"/>
  <c r="Y49" i="3" s="1"/>
  <c r="R43" i="3"/>
  <c r="X43" i="3"/>
  <c r="Y43" i="3" s="1"/>
  <c r="R82" i="3"/>
  <c r="X82" i="3"/>
  <c r="Y82" i="3" s="1"/>
  <c r="R76" i="3"/>
  <c r="X76" i="3"/>
  <c r="Y76" i="3" s="1"/>
  <c r="R71" i="3"/>
  <c r="X71" i="3"/>
  <c r="Y71" i="3" s="1"/>
  <c r="R64" i="3"/>
  <c r="X64" i="3"/>
  <c r="Y64" i="3" s="1"/>
  <c r="R57" i="3"/>
  <c r="X57" i="3"/>
  <c r="Y57" i="3" s="1"/>
  <c r="R53" i="3"/>
  <c r="X53" i="3"/>
  <c r="Y53" i="3" s="1"/>
  <c r="R48" i="3"/>
  <c r="X48" i="3"/>
  <c r="Y48" i="3" s="1"/>
  <c r="R44" i="3"/>
  <c r="X44" i="3"/>
  <c r="Y44" i="3" s="1"/>
  <c r="R79" i="3"/>
  <c r="X79" i="3"/>
  <c r="Y79" i="3" s="1"/>
  <c r="R70" i="3"/>
  <c r="X70" i="3"/>
  <c r="Y70" i="3" s="1"/>
  <c r="R62" i="3"/>
  <c r="X62" i="3"/>
  <c r="Y62" i="3" s="1"/>
  <c r="R46" i="3"/>
  <c r="X46" i="3"/>
  <c r="Y46" i="3" s="1"/>
  <c r="R23" i="3"/>
  <c r="X23" i="3"/>
  <c r="Y23" i="3" s="1"/>
  <c r="R21" i="3"/>
  <c r="X21" i="3"/>
  <c r="Y21" i="3" s="1"/>
  <c r="R19" i="3"/>
  <c r="X19" i="3"/>
  <c r="Y19" i="3" s="1"/>
  <c r="R17" i="3"/>
  <c r="X17" i="3"/>
  <c r="Y17" i="3" s="1"/>
  <c r="R15" i="3"/>
  <c r="X15" i="3"/>
  <c r="Y15" i="3" s="1"/>
  <c r="R13" i="3"/>
  <c r="X13" i="3"/>
  <c r="Y13" i="3" s="1"/>
  <c r="R11" i="3"/>
  <c r="X11" i="3"/>
  <c r="Y11" i="3" s="1"/>
  <c r="R9" i="3"/>
  <c r="X9" i="3"/>
  <c r="Y9" i="3" s="1"/>
  <c r="R7" i="3"/>
  <c r="X7" i="3"/>
  <c r="Y7" i="3" s="1"/>
  <c r="R5" i="3"/>
  <c r="X5" i="3"/>
  <c r="Y5" i="3" s="1"/>
  <c r="R3" i="3"/>
  <c r="X3" i="3"/>
  <c r="Y3" i="3" s="1"/>
  <c r="R29" i="3"/>
  <c r="X29" i="3"/>
  <c r="Y29" i="3" s="1"/>
  <c r="R26" i="3"/>
  <c r="X26" i="3"/>
  <c r="Y26" i="3" s="1"/>
  <c r="R37" i="3"/>
  <c r="X37" i="3"/>
  <c r="Y37" i="3" s="1"/>
  <c r="R38" i="3"/>
  <c r="X38" i="3"/>
  <c r="Y38" i="3" s="1"/>
  <c r="R40" i="3"/>
  <c r="X40" i="3"/>
  <c r="Y40" i="3" s="1"/>
  <c r="R33" i="3"/>
  <c r="X33" i="3"/>
  <c r="Y33" i="3" s="1"/>
  <c r="R34" i="3"/>
  <c r="X34" i="3"/>
  <c r="Y34" i="3" s="1"/>
  <c r="S4" i="3"/>
  <c r="T4" i="3" s="1"/>
  <c r="S13" i="3"/>
  <c r="T13" i="3" s="1"/>
  <c r="S3" i="3"/>
  <c r="T3" i="3" s="1"/>
  <c r="S15" i="3"/>
  <c r="T15" i="3" s="1"/>
  <c r="S2" i="3"/>
  <c r="T2" i="3" s="1"/>
  <c r="S11" i="3"/>
  <c r="T11" i="3" s="1"/>
  <c r="S9" i="3"/>
  <c r="T9" i="3" s="1"/>
  <c r="S10" i="3"/>
  <c r="T10" i="3" s="1"/>
  <c r="S5" i="3"/>
  <c r="T5" i="3" s="1"/>
  <c r="S8" i="3"/>
  <c r="T8" i="3" s="1"/>
  <c r="S7" i="3"/>
  <c r="T7" i="3" s="1"/>
</calcChain>
</file>

<file path=xl/sharedStrings.xml><?xml version="1.0" encoding="utf-8"?>
<sst xmlns="http://schemas.openxmlformats.org/spreadsheetml/2006/main" count="108" uniqueCount="93">
  <si>
    <t>Port Diameter</t>
  </si>
  <si>
    <t>Rpm</t>
  </si>
  <si>
    <t>hc</t>
  </si>
  <si>
    <t>td</t>
  </si>
  <si>
    <t>hc/hi</t>
  </si>
  <si>
    <t>td/to</t>
  </si>
  <si>
    <t>td'</t>
  </si>
  <si>
    <t>Epsilon</t>
  </si>
  <si>
    <t>%Area blockage</t>
  </si>
  <si>
    <t>Area occupied by air core</t>
  </si>
  <si>
    <t>A*HC (min Volume of air core)</t>
  </si>
  <si>
    <t>% Change in new para</t>
  </si>
  <si>
    <t>% Change in Hc</t>
  </si>
  <si>
    <t xml:space="preserve">equalent Area available </t>
  </si>
  <si>
    <t>Radius of air core</t>
  </si>
  <si>
    <t>Pmin</t>
  </si>
  <si>
    <t>angular velocity</t>
  </si>
  <si>
    <t>ABS(M)</t>
  </si>
  <si>
    <t>ABS(o)</t>
  </si>
  <si>
    <t>.</t>
  </si>
  <si>
    <t>i</t>
  </si>
  <si>
    <t>Volume</t>
  </si>
  <si>
    <t>x1</t>
  </si>
  <si>
    <t>x2</t>
  </si>
  <si>
    <t>x3</t>
  </si>
  <si>
    <t>xi</t>
  </si>
  <si>
    <t>Q(t)</t>
  </si>
  <si>
    <t>Time step</t>
  </si>
  <si>
    <t>i-1</t>
  </si>
  <si>
    <t>h1</t>
  </si>
  <si>
    <t>h2</t>
  </si>
  <si>
    <t>h3</t>
  </si>
  <si>
    <t>T'd1</t>
  </si>
  <si>
    <t>T'd2</t>
  </si>
  <si>
    <t>T'd3</t>
  </si>
  <si>
    <t>T'di</t>
  </si>
  <si>
    <t>qi=(qi-qi-1)/0.5</t>
  </si>
  <si>
    <t>ε1</t>
  </si>
  <si>
    <t>ε2</t>
  </si>
  <si>
    <t>εi</t>
  </si>
  <si>
    <t>q1=x1-0/0.5</t>
  </si>
  <si>
    <t>q2=x2-x1/0.5</t>
  </si>
  <si>
    <t>q3=x3-x2/0.5</t>
  </si>
  <si>
    <t>ε3</t>
  </si>
  <si>
    <t>Aavl1</t>
  </si>
  <si>
    <t>Aavl2</t>
  </si>
  <si>
    <t>Aavl3</t>
  </si>
  <si>
    <t>Aaval   i</t>
  </si>
  <si>
    <t>N.A</t>
  </si>
  <si>
    <t>Td</t>
  </si>
  <si>
    <t>Aair1</t>
  </si>
  <si>
    <t>Aair2</t>
  </si>
  <si>
    <t>Aair3</t>
  </si>
  <si>
    <t>Aair    i</t>
  </si>
  <si>
    <t>Vc=Aair*h</t>
  </si>
  <si>
    <t>Vc1</t>
  </si>
  <si>
    <t>Vc2</t>
  </si>
  <si>
    <t>Vc3</t>
  </si>
  <si>
    <t>Vci</t>
  </si>
  <si>
    <r>
      <t>ra=</t>
    </r>
    <r>
      <rPr>
        <i/>
        <sz val="14"/>
        <color theme="1"/>
        <rFont val="Calibri"/>
        <family val="2"/>
        <scheme val="minor"/>
      </rPr>
      <t>h</t>
    </r>
    <r>
      <rPr>
        <sz val="14"/>
        <color theme="1"/>
        <rFont val="Calibri"/>
        <family val="2"/>
        <scheme val="minor"/>
      </rPr>
      <t>(Aair)</t>
    </r>
  </si>
  <si>
    <t>ra1</t>
  </si>
  <si>
    <t>ra2</t>
  </si>
  <si>
    <t>ra3</t>
  </si>
  <si>
    <t>rai</t>
  </si>
  <si>
    <r>
      <t>P∞=</t>
    </r>
    <r>
      <rPr>
        <sz val="14"/>
        <color theme="1"/>
        <rFont val="Calibri"/>
        <family val="2"/>
      </rPr>
      <t>ρgh</t>
    </r>
  </si>
  <si>
    <t>P∞1</t>
  </si>
  <si>
    <t>P∞2</t>
  </si>
  <si>
    <t>P∞3</t>
  </si>
  <si>
    <t>P∞0</t>
  </si>
  <si>
    <t>P∞i</t>
  </si>
  <si>
    <r>
      <t>Pmin=</t>
    </r>
    <r>
      <rPr>
        <i/>
        <sz val="14"/>
        <color theme="1"/>
        <rFont val="Calibri"/>
        <family val="2"/>
        <scheme val="minor"/>
      </rPr>
      <t>i</t>
    </r>
    <r>
      <rPr>
        <sz val="14"/>
        <color theme="1"/>
        <rFont val="Calibri"/>
        <family val="2"/>
        <scheme val="minor"/>
      </rPr>
      <t>(P</t>
    </r>
    <r>
      <rPr>
        <sz val="14"/>
        <color theme="1"/>
        <rFont val="Calibri"/>
        <family val="2"/>
      </rPr>
      <t>∞,ra)</t>
    </r>
  </si>
  <si>
    <t>Pmin1</t>
  </si>
  <si>
    <t>Pmin2</t>
  </si>
  <si>
    <t>Pmin3</t>
  </si>
  <si>
    <t>Pmin    i</t>
  </si>
  <si>
    <r>
      <t>T'd =</t>
    </r>
    <r>
      <rPr>
        <i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>(hi-1,hi)</t>
    </r>
  </si>
  <si>
    <t>ε=T'd/0.5</t>
  </si>
  <si>
    <r>
      <t xml:space="preserve">h= </t>
    </r>
    <r>
      <rPr>
        <i/>
        <sz val="14"/>
        <color theme="1"/>
        <rFont val="Calibri"/>
        <family val="2"/>
        <scheme val="minor"/>
      </rPr>
      <t>f</t>
    </r>
    <r>
      <rPr>
        <sz val="14"/>
        <color theme="1"/>
        <rFont val="Calibri"/>
        <family val="2"/>
        <scheme val="minor"/>
      </rPr>
      <t>(Q,Td)</t>
    </r>
  </si>
  <si>
    <t>i/2</t>
  </si>
  <si>
    <t>% Area Blockage only due to air core</t>
  </si>
  <si>
    <t>Aavl</t>
  </si>
  <si>
    <t>Aair=A-Aavl-Af</t>
  </si>
  <si>
    <t>tcr</t>
  </si>
  <si>
    <t>Vna</t>
  </si>
  <si>
    <t>uz</t>
  </si>
  <si>
    <t>ur</t>
  </si>
  <si>
    <t>abs (ur)</t>
  </si>
  <si>
    <t>d</t>
  </si>
  <si>
    <t>RPM</t>
  </si>
  <si>
    <t>Point_ID</t>
  </si>
  <si>
    <t>hc_hi</t>
  </si>
  <si>
    <t>td_to</t>
  </si>
  <si>
    <t>Vch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</si>
</sst>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0" fontId="0" fillId="3" borderId="3" xfId="0" applyFill="1" applyBorder="1"/>
    <xf numFmtId="0" fontId="0" fillId="6" borderId="1" xfId="0" applyFill="1" applyBorder="1"/>
    <xf numFmtId="0" fontId="2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new para</c:v>
          </c:tx>
          <c:xVal>
            <c:numRef>
              <c:f>'important for phd'!$B$3:$B$15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</c:numCache>
            </c:numRef>
          </c:xVal>
          <c:yVal>
            <c:numRef>
              <c:f>'important for phd'!$T$3:$T$15</c:f>
              <c:numCache>
                <c:formatCode>General</c:formatCode>
                <c:ptCount val="13"/>
                <c:pt idx="0">
                  <c:v>17.07565793333055</c:v>
                </c:pt>
                <c:pt idx="1">
                  <c:v>41.385595613214129</c:v>
                </c:pt>
                <c:pt idx="2">
                  <c:v>55.459520024349594</c:v>
                </c:pt>
                <c:pt idx="3">
                  <c:v>56.75789054088942</c:v>
                </c:pt>
                <c:pt idx="4">
                  <c:v>65.329776459051033</c:v>
                </c:pt>
                <c:pt idx="5">
                  <c:v>68.020079958407081</c:v>
                </c:pt>
                <c:pt idx="6">
                  <c:v>70.917328680034402</c:v>
                </c:pt>
                <c:pt idx="7">
                  <c:v>81.206519800796201</c:v>
                </c:pt>
                <c:pt idx="8">
                  <c:v>88.195201281083385</c:v>
                </c:pt>
                <c:pt idx="9">
                  <c:v>88.735629457689626</c:v>
                </c:pt>
                <c:pt idx="10">
                  <c:v>90.848654056304611</c:v>
                </c:pt>
                <c:pt idx="11">
                  <c:v>95.251260599762318</c:v>
                </c:pt>
                <c:pt idx="12">
                  <c:v>97.857715551888418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F2-4FB3-B902-BAF13088819E}"/>
            </c:ext>
          </c:extLst>
        </c:ser>
        <c:ser>
          <c:idx val="1"/>
          <c:order val="1"/>
          <c:tx>
            <c:v>hc </c:v>
          </c:tx>
          <c:xVal>
            <c:numRef>
              <c:f>'important for phd'!$B$3:$B$15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</c:numCache>
            </c:numRef>
          </c:xVal>
          <c:yVal>
            <c:numRef>
              <c:f>'important for phd'!$V$3:$V$15</c:f>
              <c:numCache>
                <c:formatCode>General</c:formatCode>
                <c:ptCount val="13"/>
                <c:pt idx="0">
                  <c:v>74.657534246575338</c:v>
                </c:pt>
                <c:pt idx="1">
                  <c:v>52.736318407960205</c:v>
                </c:pt>
                <c:pt idx="2">
                  <c:v>40.789473684210527</c:v>
                </c:pt>
                <c:pt idx="3">
                  <c:v>35.245901639344268</c:v>
                </c:pt>
                <c:pt idx="4">
                  <c:v>28.740157480314956</c:v>
                </c:pt>
                <c:pt idx="5">
                  <c:v>26.436781609195396</c:v>
                </c:pt>
                <c:pt idx="6">
                  <c:v>23.616236162361627</c:v>
                </c:pt>
                <c:pt idx="7">
                  <c:v>17.81818181818182</c:v>
                </c:pt>
                <c:pt idx="8">
                  <c:v>14.285714285714283</c:v>
                </c:pt>
                <c:pt idx="9">
                  <c:v>12.587412587412587</c:v>
                </c:pt>
                <c:pt idx="10">
                  <c:v>10.380622837370252</c:v>
                </c:pt>
                <c:pt idx="11">
                  <c:v>7.094594594594601</c:v>
                </c:pt>
                <c:pt idx="12">
                  <c:v>5.3691275167785246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F2-4FB3-B902-BAF13088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76032"/>
        <c:axId val="179282304"/>
      </c:scatterChart>
      <c:valAx>
        <c:axId val="17927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  <a:r>
                  <a:rPr lang="en-US" baseline="0"/>
                  <a:t> (RPM)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282304"/>
        <c:crosses val="autoZero"/>
        <c:crossBetween val="midCat"/>
      </c:valAx>
      <c:valAx>
        <c:axId val="1792823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% change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276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phd'!$E$2:$E$15</c:f>
              <c:numCache>
                <c:formatCode>General</c:formatCode>
                <c:ptCount val="14"/>
                <c:pt idx="0">
                  <c:v>2.6666666666666668E-2</c:v>
                </c:pt>
                <c:pt idx="1">
                  <c:v>0.12333333333333334</c:v>
                </c:pt>
                <c:pt idx="2">
                  <c:v>0.31666666666666665</c:v>
                </c:pt>
                <c:pt idx="3">
                  <c:v>0.45</c:v>
                </c:pt>
                <c:pt idx="4">
                  <c:v>0.52666666666666662</c:v>
                </c:pt>
                <c:pt idx="5">
                  <c:v>0.60333333333333339</c:v>
                </c:pt>
                <c:pt idx="6">
                  <c:v>0.64</c:v>
                </c:pt>
                <c:pt idx="7">
                  <c:v>0.69</c:v>
                </c:pt>
                <c:pt idx="8">
                  <c:v>0.7533333333333333</c:v>
                </c:pt>
                <c:pt idx="9">
                  <c:v>0.8</c:v>
                </c:pt>
                <c:pt idx="10">
                  <c:v>0.83333333333333337</c:v>
                </c:pt>
                <c:pt idx="11">
                  <c:v>0.86333333333333329</c:v>
                </c:pt>
                <c:pt idx="12">
                  <c:v>0.91666666666666663</c:v>
                </c:pt>
                <c:pt idx="13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97-4547-B52D-24A78A9DEAB0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phd'!$E$16:$E$29</c:f>
              <c:numCache>
                <c:formatCode>General</c:formatCode>
                <c:ptCount val="14"/>
                <c:pt idx="0">
                  <c:v>4.3333333333333335E-2</c:v>
                </c:pt>
                <c:pt idx="1">
                  <c:v>0.15666666666666668</c:v>
                </c:pt>
                <c:pt idx="2">
                  <c:v>0.39</c:v>
                </c:pt>
                <c:pt idx="3">
                  <c:v>0.49666666666666665</c:v>
                </c:pt>
                <c:pt idx="4">
                  <c:v>0.57666666666666666</c:v>
                </c:pt>
                <c:pt idx="5">
                  <c:v>0.64333333333333331</c:v>
                </c:pt>
                <c:pt idx="6">
                  <c:v>0.71</c:v>
                </c:pt>
                <c:pt idx="7">
                  <c:v>0.7533333333333333</c:v>
                </c:pt>
                <c:pt idx="8">
                  <c:v>0.79</c:v>
                </c:pt>
                <c:pt idx="9">
                  <c:v>0.83</c:v>
                </c:pt>
                <c:pt idx="10">
                  <c:v>0.85</c:v>
                </c:pt>
                <c:pt idx="11">
                  <c:v>0.89666666666666661</c:v>
                </c:pt>
                <c:pt idx="12">
                  <c:v>0.90333333333333332</c:v>
                </c:pt>
                <c:pt idx="13">
                  <c:v>0.94666666666666666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97-4547-B52D-24A78A9DEAB0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phd'!$E$30:$E$43</c:f>
              <c:numCache>
                <c:formatCode>General</c:formatCode>
                <c:ptCount val="14"/>
                <c:pt idx="0">
                  <c:v>4.6666666666666669E-2</c:v>
                </c:pt>
                <c:pt idx="1">
                  <c:v>0.24</c:v>
                </c:pt>
                <c:pt idx="2">
                  <c:v>0.44333333333333336</c:v>
                </c:pt>
                <c:pt idx="3">
                  <c:v>0.56666666666666665</c:v>
                </c:pt>
                <c:pt idx="4">
                  <c:v>0.65333333333333332</c:v>
                </c:pt>
                <c:pt idx="5">
                  <c:v>0.69333333333333336</c:v>
                </c:pt>
                <c:pt idx="6">
                  <c:v>0.76</c:v>
                </c:pt>
                <c:pt idx="7">
                  <c:v>0.78666666666666663</c:v>
                </c:pt>
                <c:pt idx="8">
                  <c:v>0.82666666666666666</c:v>
                </c:pt>
                <c:pt idx="9">
                  <c:v>0.85333333333333339</c:v>
                </c:pt>
                <c:pt idx="10">
                  <c:v>0.88666666666666671</c:v>
                </c:pt>
                <c:pt idx="11">
                  <c:v>0.89666666666666661</c:v>
                </c:pt>
                <c:pt idx="12">
                  <c:v>0.91666666666666663</c:v>
                </c:pt>
                <c:pt idx="13">
                  <c:v>0.95666666666666667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97-4547-B52D-24A78A9DEAB0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phd'!$E$44:$E$57</c:f>
              <c:numCache>
                <c:formatCode>General</c:formatCode>
                <c:ptCount val="14"/>
                <c:pt idx="0">
                  <c:v>4.3333333333333335E-2</c:v>
                </c:pt>
                <c:pt idx="1">
                  <c:v>0.30666666666666664</c:v>
                </c:pt>
                <c:pt idx="2">
                  <c:v>0.50666666666666671</c:v>
                </c:pt>
                <c:pt idx="3">
                  <c:v>0.62666666666666671</c:v>
                </c:pt>
                <c:pt idx="4">
                  <c:v>0.68</c:v>
                </c:pt>
                <c:pt idx="5">
                  <c:v>0.74333333333333329</c:v>
                </c:pt>
                <c:pt idx="6">
                  <c:v>0.79666666666666663</c:v>
                </c:pt>
                <c:pt idx="7">
                  <c:v>0.82666666666666666</c:v>
                </c:pt>
                <c:pt idx="8">
                  <c:v>0.86</c:v>
                </c:pt>
                <c:pt idx="9">
                  <c:v>0.87666666666666671</c:v>
                </c:pt>
                <c:pt idx="10">
                  <c:v>0.91</c:v>
                </c:pt>
                <c:pt idx="11">
                  <c:v>0.92</c:v>
                </c:pt>
                <c:pt idx="12">
                  <c:v>0.95</c:v>
                </c:pt>
                <c:pt idx="13">
                  <c:v>0.97333333333333338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97-4547-B52D-24A78A9DEAB0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phd'!$E$58:$E$71</c:f>
              <c:numCache>
                <c:formatCode>General</c:formatCode>
                <c:ptCount val="14"/>
                <c:pt idx="0">
                  <c:v>2.6666666666666668E-2</c:v>
                </c:pt>
                <c:pt idx="1">
                  <c:v>0.41333333333333333</c:v>
                </c:pt>
                <c:pt idx="2">
                  <c:v>0.60666666666666669</c:v>
                </c:pt>
                <c:pt idx="3">
                  <c:v>0.70666666666666667</c:v>
                </c:pt>
                <c:pt idx="4">
                  <c:v>0.76666666666666672</c:v>
                </c:pt>
                <c:pt idx="5">
                  <c:v>0.81</c:v>
                </c:pt>
                <c:pt idx="6">
                  <c:v>0.85</c:v>
                </c:pt>
                <c:pt idx="7">
                  <c:v>0.87333333333333329</c:v>
                </c:pt>
                <c:pt idx="8">
                  <c:v>0.90333333333333332</c:v>
                </c:pt>
                <c:pt idx="9">
                  <c:v>0.91666666666666663</c:v>
                </c:pt>
                <c:pt idx="10">
                  <c:v>0.94666666666666666</c:v>
                </c:pt>
                <c:pt idx="11">
                  <c:v>0.95</c:v>
                </c:pt>
                <c:pt idx="12">
                  <c:v>0.97333333333333338</c:v>
                </c:pt>
                <c:pt idx="13">
                  <c:v>0.98666666666666669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97-4547-B52D-24A78A9DEAB0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phd'!$E$72:$E$85</c:f>
              <c:numCache>
                <c:formatCode>General</c:formatCode>
                <c:ptCount val="14"/>
                <c:pt idx="0">
                  <c:v>2.3333333333333334E-2</c:v>
                </c:pt>
                <c:pt idx="1">
                  <c:v>0.48666666666666669</c:v>
                </c:pt>
                <c:pt idx="2">
                  <c:v>0.67</c:v>
                </c:pt>
                <c:pt idx="3">
                  <c:v>0.76</c:v>
                </c:pt>
                <c:pt idx="4">
                  <c:v>0.81333333333333335</c:v>
                </c:pt>
                <c:pt idx="5">
                  <c:v>0.84666666666666668</c:v>
                </c:pt>
                <c:pt idx="6">
                  <c:v>0.87</c:v>
                </c:pt>
                <c:pt idx="7">
                  <c:v>0.90333333333333332</c:v>
                </c:pt>
                <c:pt idx="8">
                  <c:v>0.91666666666666663</c:v>
                </c:pt>
                <c:pt idx="9">
                  <c:v>0.93333333333333335</c:v>
                </c:pt>
                <c:pt idx="10">
                  <c:v>0.95333333333333337</c:v>
                </c:pt>
                <c:pt idx="11">
                  <c:v>0.96333333333333337</c:v>
                </c:pt>
                <c:pt idx="12">
                  <c:v>0.98666666666666669</c:v>
                </c:pt>
                <c:pt idx="13">
                  <c:v>0.99333333333333329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97-4547-B52D-24A78A9DE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19872"/>
        <c:axId val="179521792"/>
      </c:scatterChart>
      <c:valAx>
        <c:axId val="17951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21792"/>
        <c:crosses val="autoZero"/>
        <c:crossBetween val="midCat"/>
      </c:valAx>
      <c:valAx>
        <c:axId val="1795217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Hc/Hi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19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phd'!$F$2:$F$15</c:f>
              <c:numCache>
                <c:formatCode>General</c:formatCode>
                <c:ptCount val="14"/>
                <c:pt idx="0">
                  <c:v>1</c:v>
                </c:pt>
                <c:pt idx="1">
                  <c:v>1.6060267857142856</c:v>
                </c:pt>
                <c:pt idx="2">
                  <c:v>2.6227678571428568</c:v>
                </c:pt>
                <c:pt idx="3">
                  <c:v>3.0948660714285712</c:v>
                </c:pt>
                <c:pt idx="4">
                  <c:v>3.2912946428571423</c:v>
                </c:pt>
                <c:pt idx="5">
                  <c:v>3.5223214285714279</c:v>
                </c:pt>
                <c:pt idx="6">
                  <c:v>3.8537946428571428</c:v>
                </c:pt>
                <c:pt idx="7">
                  <c:v>3.9430803571428568</c:v>
                </c:pt>
                <c:pt idx="8">
                  <c:v>4.0491071428571423</c:v>
                </c:pt>
                <c:pt idx="9">
                  <c:v>4.3325892857142856</c:v>
                </c:pt>
                <c:pt idx="10">
                  <c:v>4.2421874999999991</c:v>
                </c:pt>
                <c:pt idx="11">
                  <c:v>4.3046875</c:v>
                </c:pt>
                <c:pt idx="12">
                  <c:v>4.4642857142857135</c:v>
                </c:pt>
                <c:pt idx="13">
                  <c:v>4.6819196428571423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1A-46FA-9CF3-61907CE7D211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phd'!$F$16:$F$29</c:f>
              <c:numCache>
                <c:formatCode>General</c:formatCode>
                <c:ptCount val="14"/>
                <c:pt idx="0">
                  <c:v>1</c:v>
                </c:pt>
                <c:pt idx="1">
                  <c:v>1.7309340188517566</c:v>
                </c:pt>
                <c:pt idx="2">
                  <c:v>2.2922022279348759</c:v>
                </c:pt>
                <c:pt idx="3">
                  <c:v>2.6563838903170525</c:v>
                </c:pt>
                <c:pt idx="4">
                  <c:v>3.0685518423307627</c:v>
                </c:pt>
                <c:pt idx="5">
                  <c:v>3.1790916880891174</c:v>
                </c:pt>
                <c:pt idx="6">
                  <c:v>3.4087403598971724</c:v>
                </c:pt>
                <c:pt idx="7">
                  <c:v>3.48586118251928</c:v>
                </c:pt>
                <c:pt idx="8">
                  <c:v>3.5252784918594688</c:v>
                </c:pt>
                <c:pt idx="9">
                  <c:v>3.6006855184233078</c:v>
                </c:pt>
                <c:pt idx="10">
                  <c:v>3.6186803770351328</c:v>
                </c:pt>
                <c:pt idx="11">
                  <c:v>3.6855184233076264</c:v>
                </c:pt>
                <c:pt idx="12">
                  <c:v>3.7737789203084833</c:v>
                </c:pt>
                <c:pt idx="13">
                  <c:v>3.8294772922022275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1A-46FA-9CF3-61907CE7D211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phd'!$F$30:$F$43</c:f>
              <c:numCache>
                <c:formatCode>General</c:formatCode>
                <c:ptCount val="14"/>
                <c:pt idx="0">
                  <c:v>1</c:v>
                </c:pt>
                <c:pt idx="1">
                  <c:v>1.7101811367895063</c:v>
                </c:pt>
                <c:pt idx="2">
                  <c:v>2.1155527795128042</c:v>
                </c:pt>
                <c:pt idx="3">
                  <c:v>2.4578388507183009</c:v>
                </c:pt>
                <c:pt idx="4">
                  <c:v>2.670206121174266</c:v>
                </c:pt>
                <c:pt idx="5">
                  <c:v>2.8319800124921923</c:v>
                </c:pt>
                <c:pt idx="6">
                  <c:v>2.9088069956277325</c:v>
                </c:pt>
                <c:pt idx="7">
                  <c:v>3.0268582136164897</c:v>
                </c:pt>
                <c:pt idx="8">
                  <c:v>3.0905683947532787</c:v>
                </c:pt>
                <c:pt idx="9">
                  <c:v>3.1286695815115553</c:v>
                </c:pt>
                <c:pt idx="10">
                  <c:v>3.1611492816989379</c:v>
                </c:pt>
                <c:pt idx="11">
                  <c:v>3.1730168644597123</c:v>
                </c:pt>
                <c:pt idx="12">
                  <c:v>3.2036227357901308</c:v>
                </c:pt>
                <c:pt idx="13">
                  <c:v>3.2860712054965644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1A-46FA-9CF3-61907CE7D211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phd'!$F$44:$F$57</c:f>
              <c:numCache>
                <c:formatCode>General</c:formatCode>
                <c:ptCount val="14"/>
                <c:pt idx="0">
                  <c:v>1</c:v>
                </c:pt>
                <c:pt idx="1">
                  <c:v>1.461111111111111</c:v>
                </c:pt>
                <c:pt idx="2">
                  <c:v>1.8200854700854703</c:v>
                </c:pt>
                <c:pt idx="3">
                  <c:v>2.0615384615384618</c:v>
                </c:pt>
                <c:pt idx="4">
                  <c:v>2.152136752136752</c:v>
                </c:pt>
                <c:pt idx="5">
                  <c:v>2.2803418803418802</c:v>
                </c:pt>
                <c:pt idx="6">
                  <c:v>2.4008547008547012</c:v>
                </c:pt>
                <c:pt idx="7">
                  <c:v>2.4230769230769234</c:v>
                </c:pt>
                <c:pt idx="8">
                  <c:v>2.4790598290598291</c:v>
                </c:pt>
                <c:pt idx="9">
                  <c:v>2.5047008547008547</c:v>
                </c:pt>
                <c:pt idx="10">
                  <c:v>2.5264957264957264</c:v>
                </c:pt>
                <c:pt idx="11">
                  <c:v>2.5824786324786326</c:v>
                </c:pt>
                <c:pt idx="12">
                  <c:v>2.5982905982905984</c:v>
                </c:pt>
                <c:pt idx="13">
                  <c:v>2.6205128205128205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1A-46FA-9CF3-61907CE7D211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phd'!$F$58:$F$71</c:f>
              <c:numCache>
                <c:formatCode>General</c:formatCode>
                <c:ptCount val="14"/>
                <c:pt idx="0">
                  <c:v>1</c:v>
                </c:pt>
                <c:pt idx="1">
                  <c:v>1.3853644963828604</c:v>
                </c:pt>
                <c:pt idx="2">
                  <c:v>1.6825264329437952</c:v>
                </c:pt>
                <c:pt idx="3">
                  <c:v>1.850862548692265</c:v>
                </c:pt>
                <c:pt idx="4">
                  <c:v>1.9262659988870341</c:v>
                </c:pt>
                <c:pt idx="5">
                  <c:v>2.0130773511407902</c:v>
                </c:pt>
                <c:pt idx="6">
                  <c:v>2.0531441291040626</c:v>
                </c:pt>
                <c:pt idx="7">
                  <c:v>2.0982192543127436</c:v>
                </c:pt>
                <c:pt idx="8">
                  <c:v>2.1174179187534778</c:v>
                </c:pt>
                <c:pt idx="9">
                  <c:v>2.1374513077351138</c:v>
                </c:pt>
                <c:pt idx="10">
                  <c:v>2.169449081803005</c:v>
                </c:pt>
                <c:pt idx="11">
                  <c:v>2.1981079577072902</c:v>
                </c:pt>
                <c:pt idx="12">
                  <c:v>2.2075681691708406</c:v>
                </c:pt>
                <c:pt idx="13">
                  <c:v>2.2289927657206459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1A-46FA-9CF3-61907CE7D211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phd'!$F$72:$F$85</c:f>
              <c:numCache>
                <c:formatCode>General</c:formatCode>
                <c:ptCount val="14"/>
                <c:pt idx="0">
                  <c:v>1</c:v>
                </c:pt>
                <c:pt idx="1">
                  <c:v>1.089375</c:v>
                </c:pt>
                <c:pt idx="2">
                  <c:v>1.2621875</c:v>
                </c:pt>
                <c:pt idx="3">
                  <c:v>1.349375</c:v>
                </c:pt>
                <c:pt idx="4">
                  <c:v>1.4060937499999999</c:v>
                </c:pt>
                <c:pt idx="5">
                  <c:v>1.44921875</c:v>
                </c:pt>
                <c:pt idx="6">
                  <c:v>1.4828125000000001</c:v>
                </c:pt>
                <c:pt idx="7">
                  <c:v>1.5037499999999999</c:v>
                </c:pt>
                <c:pt idx="8">
                  <c:v>1.5220312499999999</c:v>
                </c:pt>
                <c:pt idx="9">
                  <c:v>1.5428124999999999</c:v>
                </c:pt>
                <c:pt idx="10">
                  <c:v>1.5515625</c:v>
                </c:pt>
                <c:pt idx="11">
                  <c:v>1.5674999999999999</c:v>
                </c:pt>
                <c:pt idx="12">
                  <c:v>1.589375</c:v>
                </c:pt>
                <c:pt idx="13">
                  <c:v>1.6070312499999999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1A-46FA-9CF3-61907CE7D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48064"/>
        <c:axId val="179458432"/>
      </c:scatterChart>
      <c:valAx>
        <c:axId val="1794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58432"/>
        <c:crosses val="autoZero"/>
        <c:crossBetween val="midCat"/>
      </c:valAx>
      <c:valAx>
        <c:axId val="179458432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Td/To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48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phd'!$M$2:$M$15</c:f>
              <c:numCache>
                <c:formatCode>General</c:formatCode>
                <c:ptCount val="14"/>
                <c:pt idx="0">
                  <c:v>0</c:v>
                </c:pt>
                <c:pt idx="1">
                  <c:v>18.742679089221838</c:v>
                </c:pt>
                <c:pt idx="2">
                  <c:v>30.734553674038235</c:v>
                </c:pt>
                <c:pt idx="3">
                  <c:v>33.624035669014084</c:v>
                </c:pt>
                <c:pt idx="4">
                  <c:v>34.582079508951821</c:v>
                </c:pt>
                <c:pt idx="5">
                  <c:v>35.572126790116307</c:v>
                </c:pt>
                <c:pt idx="6">
                  <c:v>36.785292799019523</c:v>
                </c:pt>
                <c:pt idx="7">
                  <c:v>37.077201559163548</c:v>
                </c:pt>
                <c:pt idx="8">
                  <c:v>37.407122624949949</c:v>
                </c:pt>
                <c:pt idx="9">
                  <c:v>38.209924289467772</c:v>
                </c:pt>
                <c:pt idx="10">
                  <c:v>37.965564931540293</c:v>
                </c:pt>
                <c:pt idx="11">
                  <c:v>38.13559975531291</c:v>
                </c:pt>
                <c:pt idx="12">
                  <c:v>38.548194568785433</c:v>
                </c:pt>
                <c:pt idx="13">
                  <c:v>39.065491630947157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9-4AD5-9250-458C2744AE61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phd'!$M$16:$M$29</c:f>
              <c:numCache>
                <c:formatCode>General</c:formatCode>
                <c:ptCount val="14"/>
                <c:pt idx="0">
                  <c:v>0</c:v>
                </c:pt>
                <c:pt idx="1">
                  <c:v>21.03746219756443</c:v>
                </c:pt>
                <c:pt idx="2">
                  <c:v>28.085004595794693</c:v>
                </c:pt>
                <c:pt idx="3">
                  <c:v>31.064721487634472</c:v>
                </c:pt>
                <c:pt idx="4">
                  <c:v>33.583851689062236</c:v>
                </c:pt>
                <c:pt idx="5">
                  <c:v>34.148376498422209</c:v>
                </c:pt>
                <c:pt idx="6">
                  <c:v>35.204142466559446</c:v>
                </c:pt>
                <c:pt idx="7">
                  <c:v>35.527489096940933</c:v>
                </c:pt>
                <c:pt idx="8">
                  <c:v>35.687291811790622</c:v>
                </c:pt>
                <c:pt idx="9">
                  <c:v>35.983252405466267</c:v>
                </c:pt>
                <c:pt idx="10">
                  <c:v>36.052056410401399</c:v>
                </c:pt>
                <c:pt idx="11">
                  <c:v>36.301731739965049</c:v>
                </c:pt>
                <c:pt idx="12">
                  <c:v>36.617880894652444</c:v>
                </c:pt>
                <c:pt idx="13">
                  <c:v>36.809892396606955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D9-4AD5-9250-458C2744AE61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phd'!$M$30:$M$43</c:f>
              <c:numCache>
                <c:formatCode>General</c:formatCode>
                <c:ptCount val="14"/>
                <c:pt idx="0">
                  <c:v>0</c:v>
                </c:pt>
                <c:pt idx="1">
                  <c:v>20.525116269757465</c:v>
                </c:pt>
                <c:pt idx="2">
                  <c:v>26.063161351576486</c:v>
                </c:pt>
                <c:pt idx="3">
                  <c:v>29.316887934685777</c:v>
                </c:pt>
                <c:pt idx="4">
                  <c:v>30.916293090521769</c:v>
                </c:pt>
                <c:pt idx="5">
                  <c:v>31.973701012138566</c:v>
                </c:pt>
                <c:pt idx="6">
                  <c:v>32.434676452758247</c:v>
                </c:pt>
                <c:pt idx="7">
                  <c:v>33.097400282366202</c:v>
                </c:pt>
                <c:pt idx="8">
                  <c:v>33.434026162094625</c:v>
                </c:pt>
                <c:pt idx="9">
                  <c:v>33.62879054660057</c:v>
                </c:pt>
                <c:pt idx="10">
                  <c:v>33.791112180295187</c:v>
                </c:pt>
                <c:pt idx="11">
                  <c:v>33.849593071423101</c:v>
                </c:pt>
                <c:pt idx="12">
                  <c:v>33.998412659830826</c:v>
                </c:pt>
                <c:pt idx="13">
                  <c:v>34.38552174207517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D9-4AD5-9250-458C2744AE61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phd'!$M$44:$M$57</c:f>
              <c:numCache>
                <c:formatCode>General</c:formatCode>
                <c:ptCount val="14"/>
                <c:pt idx="0">
                  <c:v>0</c:v>
                </c:pt>
                <c:pt idx="1">
                  <c:v>15.367653668928549</c:v>
                </c:pt>
                <c:pt idx="2">
                  <c:v>21.941275005167384</c:v>
                </c:pt>
                <c:pt idx="3">
                  <c:v>25.075034385833327</c:v>
                </c:pt>
                <c:pt idx="4">
                  <c:v>26.069466128569989</c:v>
                </c:pt>
                <c:pt idx="5">
                  <c:v>27.34165575730087</c:v>
                </c:pt>
                <c:pt idx="6">
                  <c:v>28.413628372479121</c:v>
                </c:pt>
                <c:pt idx="7">
                  <c:v>28.599653104788491</c:v>
                </c:pt>
                <c:pt idx="8">
                  <c:v>29.05350850750731</c:v>
                </c:pt>
                <c:pt idx="9">
                  <c:v>29.254606993950809</c:v>
                </c:pt>
                <c:pt idx="10">
                  <c:v>29.422331363348636</c:v>
                </c:pt>
                <c:pt idx="11">
                  <c:v>29.840177522425332</c:v>
                </c:pt>
                <c:pt idx="12">
                  <c:v>29.954934126760747</c:v>
                </c:pt>
                <c:pt idx="13">
                  <c:v>30.113872863383623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D9-4AD5-9250-458C2744AE61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phd'!$M$58:$M$71</c:f>
              <c:numCache>
                <c:formatCode>General</c:formatCode>
                <c:ptCount val="14"/>
                <c:pt idx="0">
                  <c:v>0</c:v>
                </c:pt>
                <c:pt idx="1">
                  <c:v>13.781342841685982</c:v>
                </c:pt>
                <c:pt idx="2">
                  <c:v>20.098034951179287</c:v>
                </c:pt>
                <c:pt idx="3">
                  <c:v>22.776362673568283</c:v>
                </c:pt>
                <c:pt idx="4">
                  <c:v>23.824270948370227</c:v>
                </c:pt>
                <c:pt idx="5">
                  <c:v>24.933502662451041</c:v>
                </c:pt>
                <c:pt idx="6">
                  <c:v>25.413818599981553</c:v>
                </c:pt>
                <c:pt idx="7">
                  <c:v>25.932247393780433</c:v>
                </c:pt>
                <c:pt idx="8">
                  <c:v>26.146356946506287</c:v>
                </c:pt>
                <c:pt idx="9">
                  <c:v>26.365674851097133</c:v>
                </c:pt>
                <c:pt idx="10">
                  <c:v>26.707572846413481</c:v>
                </c:pt>
                <c:pt idx="11">
                  <c:v>27.005344361220391</c:v>
                </c:pt>
                <c:pt idx="12">
                  <c:v>27.101940592057179</c:v>
                </c:pt>
                <c:pt idx="13">
                  <c:v>27.317671488611239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D9-4AD5-9250-458C2744AE61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phd'!$M$72:$M$85</c:f>
              <c:numCache>
                <c:formatCode>General</c:formatCode>
                <c:ptCount val="14"/>
                <c:pt idx="0">
                  <c:v>0</c:v>
                </c:pt>
                <c:pt idx="1">
                  <c:v>4.0570833538814401</c:v>
                </c:pt>
                <c:pt idx="2">
                  <c:v>10.274230217179458</c:v>
                </c:pt>
                <c:pt idx="3">
                  <c:v>12.806528982666155</c:v>
                </c:pt>
                <c:pt idx="4">
                  <c:v>14.285286503358288</c:v>
                </c:pt>
                <c:pt idx="5">
                  <c:v>15.332169482378715</c:v>
                </c:pt>
                <c:pt idx="6">
                  <c:v>16.105482918552589</c:v>
                </c:pt>
                <c:pt idx="7">
                  <c:v>16.569977014779404</c:v>
                </c:pt>
                <c:pt idx="8">
                  <c:v>16.965092390980878</c:v>
                </c:pt>
                <c:pt idx="9">
                  <c:v>17.40286864582168</c:v>
                </c:pt>
                <c:pt idx="10">
                  <c:v>17.583687154260936</c:v>
                </c:pt>
                <c:pt idx="11">
                  <c:v>17.907848052133417</c:v>
                </c:pt>
                <c:pt idx="12">
                  <c:v>18.342189612802006</c:v>
                </c:pt>
                <c:pt idx="13">
                  <c:v>18.684141514072149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D9-4AD5-9250-458C2744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95296"/>
        <c:axId val="179497216"/>
      </c:scatterChart>
      <c:valAx>
        <c:axId val="17949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97216"/>
        <c:crosses val="autoZero"/>
        <c:crossBetween val="midCat"/>
      </c:valAx>
      <c:valAx>
        <c:axId val="1794972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%B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95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phd'!$R$2:$R$15</c:f>
              <c:numCache>
                <c:formatCode>General</c:formatCode>
                <c:ptCount val="14"/>
                <c:pt idx="0">
                  <c:v>2943</c:v>
                </c:pt>
                <c:pt idx="1">
                  <c:v>2942.9474098417727</c:v>
                </c:pt>
                <c:pt idx="2">
                  <c:v>2942.6550471716314</c:v>
                </c:pt>
                <c:pt idx="3">
                  <c:v>2942.1508876543812</c:v>
                </c:pt>
                <c:pt idx="4">
                  <c:v>2941.4474560764402</c:v>
                </c:pt>
                <c:pt idx="5">
                  <c:v>2940.5047006787777</c:v>
                </c:pt>
                <c:pt idx="6">
                  <c:v>2939.2842239925862</c:v>
                </c:pt>
                <c:pt idx="7">
                  <c:v>2937.9022816599804</c:v>
                </c:pt>
                <c:pt idx="8">
                  <c:v>2936.2825091198824</c:v>
                </c:pt>
                <c:pt idx="9">
                  <c:v>2934.3157162683156</c:v>
                </c:pt>
                <c:pt idx="10">
                  <c:v>2932.3472269496333</c:v>
                </c:pt>
                <c:pt idx="11">
                  <c:v>2930.0524153406045</c:v>
                </c:pt>
                <c:pt idx="12">
                  <c:v>2927.4245952000001</c:v>
                </c:pt>
                <c:pt idx="13">
                  <c:v>2924.4752307502581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10-486D-8772-0EFB60431084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phd'!$R$16:$R$29</c:f>
              <c:numCache>
                <c:formatCode>General</c:formatCode>
                <c:ptCount val="14"/>
                <c:pt idx="0">
                  <c:v>2943</c:v>
                </c:pt>
                <c:pt idx="1">
                  <c:v>2942.9548044179451</c:v>
                </c:pt>
                <c:pt idx="2">
                  <c:v>2942.7586562167562</c:v>
                </c:pt>
                <c:pt idx="3">
                  <c:v>2942.3993640668391</c:v>
                </c:pt>
                <c:pt idx="4">
                  <c:v>2941.8456124924369</c:v>
                </c:pt>
                <c:pt idx="5">
                  <c:v>2941.1659500460614</c:v>
                </c:pt>
                <c:pt idx="6">
                  <c:v>2940.27731570069</c:v>
                </c:pt>
                <c:pt idx="7">
                  <c:v>2939.2600862267118</c:v>
                </c:pt>
                <c:pt idx="8">
                  <c:v>2938.0932430100675</c:v>
                </c:pt>
                <c:pt idx="9">
                  <c:v>2936.7383844641636</c:v>
                </c:pt>
                <c:pt idx="10">
                  <c:v>2935.2548291598282</c:v>
                </c:pt>
                <c:pt idx="11">
                  <c:v>2933.5634410541152</c:v>
                </c:pt>
                <c:pt idx="12">
                  <c:v>2931.6719117589391</c:v>
                </c:pt>
                <c:pt idx="13">
                  <c:v>2929.6355169670032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10-486D-8772-0EFB60431084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phd'!$R$30:$R$43</c:f>
              <c:numCache>
                <c:formatCode>General</c:formatCode>
                <c:ptCount val="14"/>
                <c:pt idx="0">
                  <c:v>2943</c:v>
                </c:pt>
                <c:pt idx="1">
                  <c:v>2942.9676037038162</c:v>
                </c:pt>
                <c:pt idx="2">
                  <c:v>2942.8354504045615</c:v>
                </c:pt>
                <c:pt idx="3">
                  <c:v>2942.5835430528082</c:v>
                </c:pt>
                <c:pt idx="4">
                  <c:v>2942.2192407587263</c:v>
                </c:pt>
                <c:pt idx="5">
                  <c:v>2941.7383390738619</c:v>
                </c:pt>
                <c:pt idx="6">
                  <c:v>2941.15701497802</c:v>
                </c:pt>
                <c:pt idx="7">
                  <c:v>2940.4402373535913</c:v>
                </c:pt>
                <c:pt idx="8">
                  <c:v>2939.622631979506</c:v>
                </c:pt>
                <c:pt idx="9">
                  <c:v>2938.7006183152885</c:v>
                </c:pt>
                <c:pt idx="10">
                  <c:v>2937.6665009630947</c:v>
                </c:pt>
                <c:pt idx="11">
                  <c:v>2936.5352972991777</c:v>
                </c:pt>
                <c:pt idx="12">
                  <c:v>2935.2726449398169</c:v>
                </c:pt>
                <c:pt idx="13">
                  <c:v>2933.8278307935948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10-486D-8772-0EFB60431084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phd'!$R$44:$R$57</c:f>
              <c:numCache>
                <c:formatCode>General</c:formatCode>
                <c:ptCount val="14"/>
                <c:pt idx="0">
                  <c:v>2943</c:v>
                </c:pt>
                <c:pt idx="1">
                  <c:v>2942.9831657549771</c:v>
                </c:pt>
                <c:pt idx="2">
                  <c:v>2942.9038424408864</c:v>
                </c:pt>
                <c:pt idx="3">
                  <c:v>2942.7527321339967</c:v>
                </c:pt>
                <c:pt idx="4">
                  <c:v>2942.5429732244643</c:v>
                </c:pt>
                <c:pt idx="5">
                  <c:v>2942.2510354622686</c:v>
                </c:pt>
                <c:pt idx="6">
                  <c:v>2941.8791926385193</c:v>
                </c:pt>
                <c:pt idx="7">
                  <c:v>2941.4644657426611</c:v>
                </c:pt>
                <c:pt idx="8">
                  <c:v>2940.962566988037</c:v>
                </c:pt>
                <c:pt idx="9">
                  <c:v>2940.403519995632</c:v>
                </c:pt>
                <c:pt idx="10">
                  <c:v>2939.7760853766354</c:v>
                </c:pt>
                <c:pt idx="11">
                  <c:v>2939.0436467140457</c:v>
                </c:pt>
                <c:pt idx="12">
                  <c:v>2938.2735001263159</c:v>
                </c:pt>
                <c:pt idx="13">
                  <c:v>2937.4234861006885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10-486D-8772-0EFB60431084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phd'!$R$58:$R$71</c:f>
              <c:numCache>
                <c:formatCode>General</c:formatCode>
                <c:ptCount val="14"/>
                <c:pt idx="0">
                  <c:v>2943</c:v>
                </c:pt>
                <c:pt idx="1">
                  <c:v>2942.99033368038</c:v>
                </c:pt>
                <c:pt idx="2">
                  <c:v>2942.9436124529229</c:v>
                </c:pt>
                <c:pt idx="3">
                  <c:v>2942.8562206575102</c:v>
                </c:pt>
                <c:pt idx="4">
                  <c:v>2942.7326321298706</c:v>
                </c:pt>
                <c:pt idx="5">
                  <c:v>2942.5627871522693</c:v>
                </c:pt>
                <c:pt idx="6">
                  <c:v>2942.3582852221275</c:v>
                </c:pt>
                <c:pt idx="7">
                  <c:v>2942.108737055768</c:v>
                </c:pt>
                <c:pt idx="8">
                  <c:v>2941.8262900831537</c:v>
                </c:pt>
                <c:pt idx="9">
                  <c:v>2941.5020630801146</c:v>
                </c:pt>
                <c:pt idx="10">
                  <c:v>2941.1267142225074</c:v>
                </c:pt>
                <c:pt idx="11">
                  <c:v>2940.708052295246</c:v>
                </c:pt>
                <c:pt idx="12">
                  <c:v>2940.2626363537588</c:v>
                </c:pt>
                <c:pt idx="13">
                  <c:v>2939.7618273757739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10-486D-8772-0EFB60431084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phd'!$R$72:$R$85</c:f>
              <c:numCache>
                <c:formatCode>General</c:formatCode>
                <c:ptCount val="14"/>
                <c:pt idx="0">
                  <c:v>2943</c:v>
                </c:pt>
                <c:pt idx="1">
                  <c:v>2942.9983993850501</c:v>
                </c:pt>
                <c:pt idx="2">
                  <c:v>2942.9837862966565</c:v>
                </c:pt>
                <c:pt idx="3">
                  <c:v>2942.9545277038633</c:v>
                </c:pt>
                <c:pt idx="4">
                  <c:v>2942.9098258876252</c:v>
                </c:pt>
                <c:pt idx="5">
                  <c:v>2942.8487774495361</c:v>
                </c:pt>
                <c:pt idx="6">
                  <c:v>2942.7712562741413</c:v>
                </c:pt>
                <c:pt idx="7">
                  <c:v>2942.6796749338805</c:v>
                </c:pt>
                <c:pt idx="8">
                  <c:v>2942.5716397714932</c:v>
                </c:pt>
                <c:pt idx="9">
                  <c:v>2942.4438668291841</c:v>
                </c:pt>
                <c:pt idx="10">
                  <c:v>2942.3062821224125</c:v>
                </c:pt>
                <c:pt idx="11">
                  <c:v>2942.1451267858088</c:v>
                </c:pt>
                <c:pt idx="12">
                  <c:v>2941.9579546757691</c:v>
                </c:pt>
                <c:pt idx="13">
                  <c:v>2941.7542445636946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10-486D-8772-0EFB60431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76768"/>
        <c:axId val="224183040"/>
      </c:scatterChart>
      <c:valAx>
        <c:axId val="22417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183040"/>
        <c:crosses val="autoZero"/>
        <c:crossBetween val="midCat"/>
      </c:valAx>
      <c:valAx>
        <c:axId val="2241830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Pmin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176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phd'!$O$2:$O$15</c:f>
              <c:numCache>
                <c:formatCode>General</c:formatCode>
                <c:ptCount val="14"/>
                <c:pt idx="0">
                  <c:v>0</c:v>
                </c:pt>
                <c:pt idx="1">
                  <c:v>2.3115970876706936E-2</c:v>
                </c:pt>
                <c:pt idx="2">
                  <c:v>9.7326086634454398E-2</c:v>
                </c:pt>
                <c:pt idx="3">
                  <c:v>0.15130816051056339</c:v>
                </c:pt>
                <c:pt idx="4">
                  <c:v>0.18213228541381293</c:v>
                </c:pt>
                <c:pt idx="5">
                  <c:v>0.21461849830036839</c:v>
                </c:pt>
                <c:pt idx="6">
                  <c:v>0.23542587391372499</c:v>
                </c:pt>
                <c:pt idx="7">
                  <c:v>0.25583269075822851</c:v>
                </c:pt>
                <c:pt idx="8">
                  <c:v>0.28180032377462294</c:v>
                </c:pt>
                <c:pt idx="9">
                  <c:v>0.3056793943157422</c:v>
                </c:pt>
                <c:pt idx="10">
                  <c:v>0.31637970776283575</c:v>
                </c:pt>
                <c:pt idx="11">
                  <c:v>0.32923734455420145</c:v>
                </c:pt>
                <c:pt idx="12">
                  <c:v>0.35335845021386653</c:v>
                </c:pt>
                <c:pt idx="13">
                  <c:v>0.3672156213309033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00-4D6E-918A-37DF962B4C00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phd'!$O$16:$O$29</c:f>
              <c:numCache>
                <c:formatCode>General</c:formatCode>
                <c:ptCount val="14"/>
                <c:pt idx="0">
                  <c:v>0</c:v>
                </c:pt>
                <c:pt idx="1">
                  <c:v>3.2958996089942884E-2</c:v>
                </c:pt>
                <c:pt idx="2">
                  <c:v>0.10953227795997714</c:v>
                </c:pt>
                <c:pt idx="3">
                  <c:v>0.15428908463149307</c:v>
                </c:pt>
                <c:pt idx="4">
                  <c:v>0.19366800188806543</c:v>
                </c:pt>
                <c:pt idx="5">
                  <c:v>0.21968914254173777</c:v>
                </c:pt>
                <c:pt idx="6">
                  <c:v>0.24995079516854196</c:v>
                </c:pt>
                <c:pt idx="7">
                  <c:v>0.26764188596807797</c:v>
                </c:pt>
                <c:pt idx="8">
                  <c:v>0.28193114487401383</c:v>
                </c:pt>
                <c:pt idx="9">
                  <c:v>0.29866261247868692</c:v>
                </c:pt>
                <c:pt idx="10">
                  <c:v>0.30644413597795328</c:v>
                </c:pt>
                <c:pt idx="11">
                  <c:v>0.32550727536908519</c:v>
                </c:pt>
                <c:pt idx="12">
                  <c:v>0.33078328450783384</c:v>
                </c:pt>
                <c:pt idx="13">
                  <c:v>0.34846882622917247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00-4D6E-918A-37DF962B4C00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phd'!$O$30:$O$43</c:f>
              <c:numCache>
                <c:formatCode>General</c:formatCode>
                <c:ptCount val="14"/>
                <c:pt idx="0">
                  <c:v>0</c:v>
                </c:pt>
                <c:pt idx="1">
                  <c:v>4.9264634894888727E-2</c:v>
                </c:pt>
                <c:pt idx="2">
                  <c:v>0.1155568992244581</c:v>
                </c:pt>
                <c:pt idx="3">
                  <c:v>0.16614372161411367</c:v>
                </c:pt>
                <c:pt idx="4">
                  <c:v>0.20200430887300685</c:v>
                </c:pt>
                <c:pt idx="5">
                  <c:v>0.22170392948694473</c:v>
                </c:pt>
                <c:pt idx="6">
                  <c:v>0.24652533815308939</c:v>
                </c:pt>
                <c:pt idx="7">
                  <c:v>0.26038923847578788</c:v>
                </c:pt>
                <c:pt idx="8">
                  <c:v>0.27641238925202932</c:v>
                </c:pt>
                <c:pt idx="9">
                  <c:v>0.28699105431368943</c:v>
                </c:pt>
                <c:pt idx="10">
                  <c:v>0.29964102145763211</c:v>
                </c:pt>
                <c:pt idx="11">
                  <c:v>0.30354485649944563</c:v>
                </c:pt>
                <c:pt idx="12">
                  <c:v>0.3116796739329703</c:v>
                </c:pt>
                <c:pt idx="13">
                  <c:v>0.32898391254494574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00-4D6E-918A-37DF962B4C00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phd'!$O$44:$O$57</c:f>
              <c:numCache>
                <c:formatCode>General</c:formatCode>
                <c:ptCount val="14"/>
                <c:pt idx="0">
                  <c:v>0</c:v>
                </c:pt>
                <c:pt idx="1">
                  <c:v>4.7106136831997825E-2</c:v>
                </c:pt>
                <c:pt idx="2">
                  <c:v>0.11113811974773494</c:v>
                </c:pt>
                <c:pt idx="3">
                  <c:v>0.15710103218502899</c:v>
                </c:pt>
                <c:pt idx="4">
                  <c:v>0.177234329736631</c:v>
                </c:pt>
                <c:pt idx="5">
                  <c:v>0.20319926245969083</c:v>
                </c:pt>
                <c:pt idx="6">
                  <c:v>0.22631971772889684</c:v>
                </c:pt>
                <c:pt idx="7">
                  <c:v>0.23638021783726898</c:v>
                </c:pt>
                <c:pt idx="8">
                  <c:v>0.24981533172475193</c:v>
                </c:pt>
                <c:pt idx="9">
                  <c:v>0.25641990201586989</c:v>
                </c:pt>
                <c:pt idx="10">
                  <c:v>0.26769619429548397</c:v>
                </c:pt>
                <c:pt idx="11">
                  <c:v>0.27448258489779487</c:v>
                </c:pt>
                <c:pt idx="12">
                  <c:v>0.28452343053610085</c:v>
                </c:pt>
                <c:pt idx="13">
                  <c:v>0.293058926019578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00-4D6E-918A-37DF962B4C00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phd'!$O$58:$O$71</c:f>
              <c:numCache>
                <c:formatCode>General</c:formatCode>
                <c:ptCount val="14"/>
                <c:pt idx="0">
                  <c:v>0</c:v>
                </c:pt>
                <c:pt idx="1">
                  <c:v>5.6957217488424049E-2</c:v>
                </c:pt>
                <c:pt idx="2">
                  <c:v>0.121915950177142</c:v>
                </c:pt>
                <c:pt idx="3">
                  <c:v>0.16093695245226358</c:v>
                </c:pt>
                <c:pt idx="4">
                  <c:v>0.18263457495869898</c:v>
                </c:pt>
                <c:pt idx="5">
                  <c:v>0.20194128190390517</c:v>
                </c:pt>
                <c:pt idx="6">
                  <c:v>0.215995970239692</c:v>
                </c:pt>
                <c:pt idx="7">
                  <c:v>0.22645243247520672</c:v>
                </c:pt>
                <c:pt idx="8">
                  <c:v>0.23616526339441696</c:v>
                </c:pt>
                <c:pt idx="9">
                  <c:v>0.2416613116843655</c:v>
                </c:pt>
                <c:pt idx="10">
                  <c:v>0.25280653973808853</c:v>
                </c:pt>
                <c:pt idx="11">
                  <c:v>0.25652525160950762</c:v>
                </c:pt>
                <c:pt idx="12">
                  <c:v>0.26376598161330533</c:v>
                </c:pt>
                <c:pt idx="13">
                  <c:v>0.26950754735184179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00-4D6E-918A-37DF962B4C00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phd'!$O$72:$O$85</c:f>
              <c:numCache>
                <c:formatCode>General</c:formatCode>
                <c:ptCount val="14"/>
                <c:pt idx="0">
                  <c:v>0</c:v>
                </c:pt>
                <c:pt idx="1">
                  <c:v>1.9744472322223008E-2</c:v>
                </c:pt>
                <c:pt idx="2">
                  <c:v>6.8837342455102368E-2</c:v>
                </c:pt>
                <c:pt idx="3">
                  <c:v>9.7329620268262779E-2</c:v>
                </c:pt>
                <c:pt idx="4">
                  <c:v>0.11618699689398075</c:v>
                </c:pt>
                <c:pt idx="5">
                  <c:v>0.12981236828413981</c:v>
                </c:pt>
                <c:pt idx="6">
                  <c:v>0.14011770139140753</c:v>
                </c:pt>
                <c:pt idx="7">
                  <c:v>0.14968212570017392</c:v>
                </c:pt>
                <c:pt idx="8">
                  <c:v>0.15551334691732474</c:v>
                </c:pt>
                <c:pt idx="9">
                  <c:v>0.16242677402766903</c:v>
                </c:pt>
                <c:pt idx="10">
                  <c:v>0.16763115087062092</c:v>
                </c:pt>
                <c:pt idx="11">
                  <c:v>0.17251226956888524</c:v>
                </c:pt>
                <c:pt idx="12">
                  <c:v>0.18097627084631313</c:v>
                </c:pt>
                <c:pt idx="13">
                  <c:v>0.18559580570644998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00-4D6E-918A-37DF962B4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93632"/>
        <c:axId val="224295552"/>
      </c:scatterChart>
      <c:valAx>
        <c:axId val="22429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295552"/>
        <c:crosses val="autoZero"/>
        <c:crossBetween val="midCat"/>
      </c:valAx>
      <c:valAx>
        <c:axId val="2242955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Non</a:t>
                </a:r>
                <a:r>
                  <a:rPr lang="en-US" baseline="0"/>
                  <a:t> dim Vc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293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phd'!$I$2:$I$15</c:f>
              <c:numCache>
                <c:formatCode>General</c:formatCode>
                <c:ptCount val="14"/>
                <c:pt idx="0">
                  <c:v>0.11061728395061723</c:v>
                </c:pt>
                <c:pt idx="1">
                  <c:v>0.12557575757575759</c:v>
                </c:pt>
                <c:pt idx="2">
                  <c:v>0.14542969417392793</c:v>
                </c:pt>
                <c:pt idx="3">
                  <c:v>0.16258064516129034</c:v>
                </c:pt>
                <c:pt idx="4">
                  <c:v>0.17477530864197532</c:v>
                </c:pt>
                <c:pt idx="5">
                  <c:v>0.18226118228815466</c:v>
                </c:pt>
                <c:pt idx="6">
                  <c:v>0.17509618320610687</c:v>
                </c:pt>
                <c:pt idx="7">
                  <c:v>0.18204946996466434</c:v>
                </c:pt>
                <c:pt idx="8">
                  <c:v>0.19368340506934484</c:v>
                </c:pt>
                <c:pt idx="9">
                  <c:v>0.19124866595517614</c:v>
                </c:pt>
                <c:pt idx="10">
                  <c:v>0.20289855072463772</c:v>
                </c:pt>
                <c:pt idx="11">
                  <c:v>0.20589477419927246</c:v>
                </c:pt>
                <c:pt idx="12">
                  <c:v>0.20989862850327967</c:v>
                </c:pt>
                <c:pt idx="13">
                  <c:v>0.20427843803056026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64-4214-9EF2-2909F3350424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phd'!$I$16:$I$29</c:f>
              <c:numCache>
                <c:formatCode>General</c:formatCode>
                <c:ptCount val="14"/>
                <c:pt idx="0">
                  <c:v>0.12933503836317137</c:v>
                </c:pt>
                <c:pt idx="1">
                  <c:v>0.13453274466519502</c:v>
                </c:pt>
                <c:pt idx="2">
                  <c:v>0.20300178412132025</c:v>
                </c:pt>
                <c:pt idx="3">
                  <c:v>0.20977560622511762</c:v>
                </c:pt>
                <c:pt idx="4">
                  <c:v>0.20636921189819074</c:v>
                </c:pt>
                <c:pt idx="5">
                  <c:v>0.21573850574712641</c:v>
                </c:pt>
                <c:pt idx="6">
                  <c:v>0.21804473684210524</c:v>
                </c:pt>
                <c:pt idx="7">
                  <c:v>0.22542051282051281</c:v>
                </c:pt>
                <c:pt idx="8">
                  <c:v>0.23310493046776234</c:v>
                </c:pt>
                <c:pt idx="9">
                  <c:v>0.23845642540620379</c:v>
                </c:pt>
                <c:pt idx="10">
                  <c:v>0.24111570247933886</c:v>
                </c:pt>
                <c:pt idx="11">
                  <c:v>0.24849441937781996</c:v>
                </c:pt>
                <c:pt idx="12">
                  <c:v>0.24425162187210381</c:v>
                </c:pt>
                <c:pt idx="13">
                  <c:v>0.25176845943482229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64-4214-9EF2-2909F3350424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phd'!$I$30:$I$43</c:f>
              <c:numCache>
                <c:formatCode>General</c:formatCode>
                <c:ptCount val="14"/>
                <c:pt idx="0">
                  <c:v>0.15500691562932223</c:v>
                </c:pt>
                <c:pt idx="1">
                  <c:v>0.20297939778129953</c:v>
                </c:pt>
                <c:pt idx="2">
                  <c:v>0.24817365967365973</c:v>
                </c:pt>
                <c:pt idx="3">
                  <c:v>0.25584696371498405</c:v>
                </c:pt>
                <c:pt idx="4">
                  <c:v>0.2647397283388172</c:v>
                </c:pt>
                <c:pt idx="5">
                  <c:v>0.25941263535093873</c:v>
                </c:pt>
                <c:pt idx="6">
                  <c:v>0.27373678290213727</c:v>
                </c:pt>
                <c:pt idx="7">
                  <c:v>0.27085017921146959</c:v>
                </c:pt>
                <c:pt idx="8">
                  <c:v>0.27670778451460037</c:v>
                </c:pt>
                <c:pt idx="9">
                  <c:v>0.28151384023628001</c:v>
                </c:pt>
                <c:pt idx="10">
                  <c:v>0.28788345839248297</c:v>
                </c:pt>
                <c:pt idx="11">
                  <c:v>0.2887876349493731</c:v>
                </c:pt>
                <c:pt idx="12">
                  <c:v>0.29141845379931164</c:v>
                </c:pt>
                <c:pt idx="13">
                  <c:v>0.29602306403813938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64-4214-9EF2-2909F3350424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phd'!$I$44:$I$57</c:f>
              <c:numCache>
                <c:formatCode>General</c:formatCode>
                <c:ptCount val="14"/>
                <c:pt idx="0">
                  <c:v>0.15111773472429216</c:v>
                </c:pt>
                <c:pt idx="1">
                  <c:v>0.29421894218942191</c:v>
                </c:pt>
                <c:pt idx="2">
                  <c:v>0.32697186982901266</c:v>
                </c:pt>
                <c:pt idx="3">
                  <c:v>0.33756906077348064</c:v>
                </c:pt>
                <c:pt idx="4">
                  <c:v>0.34219354838709676</c:v>
                </c:pt>
                <c:pt idx="5">
                  <c:v>0.34614925373134325</c:v>
                </c:pt>
                <c:pt idx="6">
                  <c:v>0.34857890800299174</c:v>
                </c:pt>
                <c:pt idx="7">
                  <c:v>0.35624309392265191</c:v>
                </c:pt>
                <c:pt idx="8">
                  <c:v>0.35865264658706114</c:v>
                </c:pt>
                <c:pt idx="9">
                  <c:v>0.36046389035318926</c:v>
                </c:pt>
                <c:pt idx="10">
                  <c:v>0.36988014590932777</c:v>
                </c:pt>
                <c:pt idx="11">
                  <c:v>0.36407914764079147</c:v>
                </c:pt>
                <c:pt idx="12">
                  <c:v>0.37286145588728609</c:v>
                </c:pt>
                <c:pt idx="13">
                  <c:v>0.37852750540136276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64-4214-9EF2-2909F3350424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phd'!$I$58:$I$71</c:f>
              <c:numCache>
                <c:formatCode>General</c:formatCode>
                <c:ptCount val="14"/>
                <c:pt idx="0">
                  <c:v>0.13348189415041792</c:v>
                </c:pt>
                <c:pt idx="1">
                  <c:v>0.41081858407079647</c:v>
                </c:pt>
                <c:pt idx="2">
                  <c:v>0.41954204348662688</c:v>
                </c:pt>
                <c:pt idx="3">
                  <c:v>0.42202725157859755</c:v>
                </c:pt>
                <c:pt idx="4">
                  <c:v>0.42885603112840465</c:v>
                </c:pt>
                <c:pt idx="5">
                  <c:v>0.42716654438738083</c:v>
                </c:pt>
                <c:pt idx="6">
                  <c:v>0.43504699515807443</c:v>
                </c:pt>
                <c:pt idx="7">
                  <c:v>0.4334106600386633</c:v>
                </c:pt>
                <c:pt idx="8">
                  <c:v>0.44195208276613124</c:v>
                </c:pt>
                <c:pt idx="9">
                  <c:v>0.44227413075580613</c:v>
                </c:pt>
                <c:pt idx="10">
                  <c:v>0.44897334389020849</c:v>
                </c:pt>
                <c:pt idx="11">
                  <c:v>0.44249611197511662</c:v>
                </c:pt>
                <c:pt idx="12">
                  <c:v>0.45102630221763795</c:v>
                </c:pt>
                <c:pt idx="13">
                  <c:v>0.45127004326800713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64-4214-9EF2-2909F3350424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phd'!$I$72:$I$85</c:f>
              <c:numCache>
                <c:formatCode>General</c:formatCode>
                <c:ptCount val="14"/>
                <c:pt idx="0">
                  <c:v>8.7176493481222028E-2</c:v>
                </c:pt>
                <c:pt idx="1">
                  <c:v>0.61227966712535231</c:v>
                </c:pt>
                <c:pt idx="2">
                  <c:v>0.61274649899971423</c:v>
                </c:pt>
                <c:pt idx="3">
                  <c:v>0.62311042787599291</c:v>
                </c:pt>
                <c:pt idx="4">
                  <c:v>0.62414068745004003</c:v>
                </c:pt>
                <c:pt idx="5">
                  <c:v>0.62055275614597649</c:v>
                </c:pt>
                <c:pt idx="6">
                  <c:v>0.61627006087437741</c:v>
                </c:pt>
                <c:pt idx="7">
                  <c:v>0.62541468339824025</c:v>
                </c:pt>
                <c:pt idx="8">
                  <c:v>0.62537753615463876</c:v>
                </c:pt>
                <c:pt idx="9">
                  <c:v>0.62456433849156556</c:v>
                </c:pt>
                <c:pt idx="10">
                  <c:v>0.63154262843735987</c:v>
                </c:pt>
                <c:pt idx="11">
                  <c:v>0.63040218132242676</c:v>
                </c:pt>
                <c:pt idx="12">
                  <c:v>0.63553408480944706</c:v>
                </c:pt>
                <c:pt idx="13">
                  <c:v>0.63112611271054631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64-4214-9EF2-2909F3350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344704"/>
        <c:axId val="224355072"/>
      </c:scatterChart>
      <c:valAx>
        <c:axId val="22434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55072"/>
        <c:crosses val="autoZero"/>
        <c:crossBetween val="midCat"/>
      </c:valAx>
      <c:valAx>
        <c:axId val="2243550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Vna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44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phd'!$W$2:$W$15</c:f>
              <c:numCache>
                <c:formatCode>General</c:formatCode>
                <c:ptCount val="14"/>
                <c:pt idx="0">
                  <c:v>2410.6039595290358</c:v>
                </c:pt>
                <c:pt idx="1">
                  <c:v>1500.9736954399</c:v>
                </c:pt>
                <c:pt idx="2">
                  <c:v>919.10687137787943</c:v>
                </c:pt>
                <c:pt idx="3">
                  <c:v>778.90412828633839</c:v>
                </c:pt>
                <c:pt idx="4">
                  <c:v>732.41815793082958</c:v>
                </c:pt>
                <c:pt idx="5">
                  <c:v>684.37932437833217</c:v>
                </c:pt>
                <c:pt idx="6">
                  <c:v>625.51437814596488</c:v>
                </c:pt>
                <c:pt idx="7">
                  <c:v>611.3504522326682</c:v>
                </c:pt>
                <c:pt idx="8">
                  <c:v>595.3421024636209</c:v>
                </c:pt>
                <c:pt idx="9">
                  <c:v>556.38875521329635</c:v>
                </c:pt>
                <c:pt idx="10">
                  <c:v>568.24550058879674</c:v>
                </c:pt>
                <c:pt idx="11">
                  <c:v>559.99511219549299</c:v>
                </c:pt>
                <c:pt idx="12">
                  <c:v>539.97528693450408</c:v>
                </c:pt>
                <c:pt idx="13">
                  <c:v>514.87512460977746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A-4254-A508-AFD834FB0709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phd'!$W$16:$W$29</c:f>
              <c:numCache>
                <c:formatCode>General</c:formatCode>
                <c:ptCount val="14"/>
                <c:pt idx="0">
                  <c:v>2416.1418085086461</c:v>
                </c:pt>
                <c:pt idx="1">
                  <c:v>1395.8601438265298</c:v>
                </c:pt>
                <c:pt idx="2">
                  <c:v>1054.0700899176038</c:v>
                </c:pt>
                <c:pt idx="3">
                  <c:v>909.56048081599681</c:v>
                </c:pt>
                <c:pt idx="4">
                  <c:v>787.38829671309406</c:v>
                </c:pt>
                <c:pt idx="5">
                  <c:v>760.01010526404036</c:v>
                </c:pt>
                <c:pt idx="6">
                  <c:v>708.80781561829815</c:v>
                </c:pt>
                <c:pt idx="7">
                  <c:v>693.12622677718537</c:v>
                </c:pt>
                <c:pt idx="8">
                  <c:v>685.37615229207336</c:v>
                </c:pt>
                <c:pt idx="9">
                  <c:v>671.02272501894095</c:v>
                </c:pt>
                <c:pt idx="10">
                  <c:v>667.68588456774569</c:v>
                </c:pt>
                <c:pt idx="11">
                  <c:v>655.57718914893974</c:v>
                </c:pt>
                <c:pt idx="12">
                  <c:v>640.24466179146009</c:v>
                </c:pt>
                <c:pt idx="13">
                  <c:v>630.93253312364959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0A-4254-A508-AFD834FB0709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phd'!$W$30:$W$43</c:f>
              <c:numCache>
                <c:formatCode>General</c:formatCode>
                <c:ptCount val="14"/>
                <c:pt idx="0">
                  <c:v>2396.3497374996768</c:v>
                </c:pt>
                <c:pt idx="1">
                  <c:v>1401.2256865365168</c:v>
                </c:pt>
                <c:pt idx="2">
                  <c:v>1132.7298286793573</c:v>
                </c:pt>
                <c:pt idx="3">
                  <c:v>974.98244720126627</c:v>
                </c:pt>
                <c:pt idx="4">
                  <c:v>897.43998356420661</c:v>
                </c:pt>
                <c:pt idx="5">
                  <c:v>846.17466469717306</c:v>
                </c:pt>
                <c:pt idx="6">
                  <c:v>823.82562373566316</c:v>
                </c:pt>
                <c:pt idx="7">
                  <c:v>791.69540440300932</c:v>
                </c:pt>
                <c:pt idx="8">
                  <c:v>775.37508685064324</c:v>
                </c:pt>
                <c:pt idx="9">
                  <c:v>765.93250743401541</c:v>
                </c:pt>
                <c:pt idx="10">
                  <c:v>758.06281954890005</c:v>
                </c:pt>
                <c:pt idx="11">
                  <c:v>755.22754522381558</c:v>
                </c:pt>
                <c:pt idx="12">
                  <c:v>748.01246436673489</c:v>
                </c:pt>
                <c:pt idx="13">
                  <c:v>729.24461694297338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0A-4254-A508-AFD834FB0709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phd'!$W$44:$W$57</c:f>
              <c:numCache>
                <c:formatCode>General</c:formatCode>
                <c:ptCount val="14"/>
                <c:pt idx="0">
                  <c:v>2361.4603156702015</c:v>
                </c:pt>
                <c:pt idx="1">
                  <c:v>1616.2085810670583</c:v>
                </c:pt>
                <c:pt idx="2">
                  <c:v>1297.4447378887701</c:v>
                </c:pt>
                <c:pt idx="3">
                  <c:v>1145.4844814818141</c:v>
                </c:pt>
                <c:pt idx="4">
                  <c:v>1097.2631331747959</c:v>
                </c:pt>
                <c:pt idx="5">
                  <c:v>1035.5729270367826</c:v>
                </c:pt>
                <c:pt idx="6">
                  <c:v>983.59151631688701</c:v>
                </c:pt>
                <c:pt idx="7">
                  <c:v>974.57092392738468</c:v>
                </c:pt>
                <c:pt idx="8">
                  <c:v>952.56285789834021</c:v>
                </c:pt>
                <c:pt idx="9">
                  <c:v>942.8113186603432</c:v>
                </c:pt>
                <c:pt idx="10">
                  <c:v>934.67813576932883</c:v>
                </c:pt>
                <c:pt idx="11">
                  <c:v>914.416206961488</c:v>
                </c:pt>
                <c:pt idx="12">
                  <c:v>908.85150307043943</c:v>
                </c:pt>
                <c:pt idx="13">
                  <c:v>901.14434746710231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0A-4254-A508-AFD834FB0709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phd'!$W$58:$W$71</c:f>
              <c:numCache>
                <c:formatCode>General</c:formatCode>
                <c:ptCount val="14"/>
                <c:pt idx="0">
                  <c:v>2403.8966585843255</c:v>
                </c:pt>
                <c:pt idx="1">
                  <c:v>1735.2087951299591</c:v>
                </c:pt>
                <c:pt idx="2">
                  <c:v>1428.7422839345238</c:v>
                </c:pt>
                <c:pt idx="3">
                  <c:v>1298.7980443403587</c:v>
                </c:pt>
                <c:pt idx="4">
                  <c:v>1247.9567515458712</c:v>
                </c:pt>
                <c:pt idx="5">
                  <c:v>1194.1402337183229</c:v>
                </c:pt>
                <c:pt idx="6">
                  <c:v>1170.836778825324</c:v>
                </c:pt>
                <c:pt idx="7">
                  <c:v>1145.6842051388498</c:v>
                </c:pt>
                <c:pt idx="8">
                  <c:v>1135.296266879378</c:v>
                </c:pt>
                <c:pt idx="9">
                  <c:v>1124.6556353751714</c:v>
                </c:pt>
                <c:pt idx="10">
                  <c:v>1108.0677941454489</c:v>
                </c:pt>
                <c:pt idx="11">
                  <c:v>1093.6208342977297</c:v>
                </c:pt>
                <c:pt idx="12">
                  <c:v>1088.9342816929752</c:v>
                </c:pt>
                <c:pt idx="13">
                  <c:v>1078.4676808078973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0A-4254-A508-AFD834FB0709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phd'!$W$72:$W$85</c:f>
              <c:numCache>
                <c:formatCode>General</c:formatCode>
                <c:ptCount val="14"/>
                <c:pt idx="0">
                  <c:v>2399.8172102937897</c:v>
                </c:pt>
                <c:pt idx="1">
                  <c:v>2202.9303135226983</c:v>
                </c:pt>
                <c:pt idx="2">
                  <c:v>1901.3159378410812</c:v>
                </c:pt>
                <c:pt idx="3">
                  <c:v>1778.4657417647352</c:v>
                </c:pt>
                <c:pt idx="4">
                  <c:v>1706.7263191332654</c:v>
                </c:pt>
                <c:pt idx="5">
                  <c:v>1655.9385602027228</c:v>
                </c:pt>
                <c:pt idx="6">
                  <c:v>1618.4225654246843</c:v>
                </c:pt>
                <c:pt idx="7">
                  <c:v>1595.8884191479899</c:v>
                </c:pt>
                <c:pt idx="8">
                  <c:v>1576.7200642521564</c:v>
                </c:pt>
                <c:pt idx="9">
                  <c:v>1555.4820889082696</c:v>
                </c:pt>
                <c:pt idx="10">
                  <c:v>1546.7099844793809</c:v>
                </c:pt>
                <c:pt idx="11">
                  <c:v>1530.9838662161339</c:v>
                </c:pt>
                <c:pt idx="12">
                  <c:v>1509.9125192568083</c:v>
                </c:pt>
                <c:pt idx="13">
                  <c:v>1493.3233005231168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0A-4254-A508-AFD834FB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17728"/>
        <c:axId val="169432192"/>
      </c:scatterChart>
      <c:valAx>
        <c:axId val="169417728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32192"/>
        <c:crosses val="autoZero"/>
        <c:crossBetween val="midCat"/>
      </c:valAx>
      <c:valAx>
        <c:axId val="1694321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17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'important for phd'!$B$2:$B$15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phd'!$Y$2:$Y$15</c:f>
              <c:numCache>
                <c:formatCode>General</c:formatCode>
                <c:ptCount val="14"/>
                <c:pt idx="0">
                  <c:v>0</c:v>
                </c:pt>
                <c:pt idx="1">
                  <c:v>18.006804359317506</c:v>
                </c:pt>
                <c:pt idx="2">
                  <c:v>14.283160105003292</c:v>
                </c:pt>
                <c:pt idx="3">
                  <c:v>12.691787295980184</c:v>
                </c:pt>
                <c:pt idx="4">
                  <c:v>12.112793752942096</c:v>
                </c:pt>
                <c:pt idx="5">
                  <c:v>11.48853420500024</c:v>
                </c:pt>
                <c:pt idx="6">
                  <c:v>10.68844225609716</c:v>
                </c:pt>
                <c:pt idx="7">
                  <c:v>10.490244901570893</c:v>
                </c:pt>
                <c:pt idx="8">
                  <c:v>10.263617015666597</c:v>
                </c:pt>
                <c:pt idx="9">
                  <c:v>9.7006460253163311</c:v>
                </c:pt>
                <c:pt idx="10">
                  <c:v>9.8737231440061262</c:v>
                </c:pt>
                <c:pt idx="11">
                  <c:v>9.753447698987225</c:v>
                </c:pt>
                <c:pt idx="12">
                  <c:v>9.4585888121716817</c:v>
                </c:pt>
                <c:pt idx="13">
                  <c:v>9.0829287127163241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93-48CF-8128-C22290E912DE}"/>
            </c:ext>
          </c:extLst>
        </c:ser>
        <c:ser>
          <c:idx val="1"/>
          <c:order val="1"/>
          <c:tx>
            <c:v>d=14</c:v>
          </c:tx>
          <c:xVal>
            <c:numRef>
              <c:f>'important for phd'!$B$16:$B$29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phd'!$Y$16:$Y$29</c:f>
              <c:numCache>
                <c:formatCode>General</c:formatCode>
                <c:ptCount val="14"/>
                <c:pt idx="0">
                  <c:v>0</c:v>
                </c:pt>
                <c:pt idx="1">
                  <c:v>15.478467438520846</c:v>
                </c:pt>
                <c:pt idx="2">
                  <c:v>13.583765635714228</c:v>
                </c:pt>
                <c:pt idx="3">
                  <c:v>12.355500968752803</c:v>
                </c:pt>
                <c:pt idx="4">
                  <c:v>11.141600754214437</c:v>
                </c:pt>
                <c:pt idx="5">
                  <c:v>10.848584910403572</c:v>
                </c:pt>
                <c:pt idx="6">
                  <c:v>10.280603834023049</c:v>
                </c:pt>
                <c:pt idx="7">
                  <c:v>10.101512099093844</c:v>
                </c:pt>
                <c:pt idx="8">
                  <c:v>10.012122396419242</c:v>
                </c:pt>
                <c:pt idx="9">
                  <c:v>9.8450403787296832</c:v>
                </c:pt>
                <c:pt idx="10">
                  <c:v>9.8059142162661885</c:v>
                </c:pt>
                <c:pt idx="11">
                  <c:v>9.6630392618464516</c:v>
                </c:pt>
                <c:pt idx="12">
                  <c:v>9.4801218811637114</c:v>
                </c:pt>
                <c:pt idx="13">
                  <c:v>9.3679408701701998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93-48CF-8128-C22290E912DE}"/>
            </c:ext>
          </c:extLst>
        </c:ser>
        <c:ser>
          <c:idx val="2"/>
          <c:order val="2"/>
          <c:tx>
            <c:v>d=12</c:v>
          </c:tx>
          <c:xVal>
            <c:numRef>
              <c:f>'important for phd'!$B$30:$B$43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phd'!$Y$30:$Y$43</c:f>
              <c:numCache>
                <c:formatCode>General</c:formatCode>
                <c:ptCount val="14"/>
                <c:pt idx="0">
                  <c:v>0</c:v>
                </c:pt>
                <c:pt idx="1">
                  <c:v>13.081071437778059</c:v>
                </c:pt>
                <c:pt idx="2">
                  <c:v>11.963117527358714</c:v>
                </c:pt>
                <c:pt idx="3">
                  <c:v>10.944342087534318</c:v>
                </c:pt>
                <c:pt idx="4">
                  <c:v>10.355545235034228</c:v>
                </c:pt>
                <c:pt idx="5">
                  <c:v>9.936092317442526</c:v>
                </c:pt>
                <c:pt idx="6">
                  <c:v>9.7459075685810674</c:v>
                </c:pt>
                <c:pt idx="7">
                  <c:v>9.4648305569137872</c:v>
                </c:pt>
                <c:pt idx="8">
                  <c:v>9.3186402065230212</c:v>
                </c:pt>
                <c:pt idx="9">
                  <c:v>9.2330154199034933</c:v>
                </c:pt>
                <c:pt idx="10">
                  <c:v>9.1610729086626304</c:v>
                </c:pt>
                <c:pt idx="11">
                  <c:v>9.1350246740572487</c:v>
                </c:pt>
                <c:pt idx="12">
                  <c:v>9.0684310779008026</c:v>
                </c:pt>
                <c:pt idx="13">
                  <c:v>8.8931513222410761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93-48CF-8128-C22290E912DE}"/>
            </c:ext>
          </c:extLst>
        </c:ser>
        <c:ser>
          <c:idx val="3"/>
          <c:order val="3"/>
          <c:tx>
            <c:v>d=10</c:v>
          </c:tx>
          <c:xVal>
            <c:numRef>
              <c:f>'important for phd'!$B$44:$B$57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phd'!$Y$44:$Y$57</c:f>
              <c:numCache>
                <c:formatCode>General</c:formatCode>
                <c:ptCount val="14"/>
                <c:pt idx="0">
                  <c:v>0</c:v>
                </c:pt>
                <c:pt idx="1">
                  <c:v>10.78405136366187</c:v>
                </c:pt>
                <c:pt idx="2">
                  <c:v>10.389386499816636</c:v>
                </c:pt>
                <c:pt idx="3">
                  <c:v>9.8238491673847861</c:v>
                </c:pt>
                <c:pt idx="4">
                  <c:v>9.6004755604217298</c:v>
                </c:pt>
                <c:pt idx="5">
                  <c:v>9.2857073149078815</c:v>
                </c:pt>
                <c:pt idx="6">
                  <c:v>8.996066580378077</c:v>
                </c:pt>
                <c:pt idx="7">
                  <c:v>8.9435873305139886</c:v>
                </c:pt>
                <c:pt idx="8">
                  <c:v>8.8128451178372771</c:v>
                </c:pt>
                <c:pt idx="9">
                  <c:v>8.7536972948029401</c:v>
                </c:pt>
                <c:pt idx="10">
                  <c:v>8.7037982048382379</c:v>
                </c:pt>
                <c:pt idx="11">
                  <c:v>8.577258219061326</c:v>
                </c:pt>
                <c:pt idx="12">
                  <c:v>8.5419524570378069</c:v>
                </c:pt>
                <c:pt idx="13">
                  <c:v>8.4926625607593849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93-48CF-8128-C22290E912DE}"/>
            </c:ext>
          </c:extLst>
        </c:ser>
        <c:ser>
          <c:idx val="4"/>
          <c:order val="4"/>
          <c:tx>
            <c:v>d=8</c:v>
          </c:tx>
          <c:xVal>
            <c:numRef>
              <c:f>'important for phd'!$B$58:$B$71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phd'!$Y$58:$Y$71</c:f>
              <c:numCache>
                <c:formatCode>General</c:formatCode>
                <c:ptCount val="14"/>
                <c:pt idx="0">
                  <c:v>0</c:v>
                </c:pt>
                <c:pt idx="1">
                  <c:v>8.7277330778658495</c:v>
                </c:pt>
                <c:pt idx="2">
                  <c:v>8.7077127038060169</c:v>
                </c:pt>
                <c:pt idx="3">
                  <c:v>8.4374784963753591</c:v>
                </c:pt>
                <c:pt idx="4">
                  <c:v>8.2955869966205409</c:v>
                </c:pt>
                <c:pt idx="5">
                  <c:v>8.1245862204947361</c:v>
                </c:pt>
                <c:pt idx="6">
                  <c:v>8.0441088655331203</c:v>
                </c:pt>
                <c:pt idx="7">
                  <c:v>7.9529890993845198</c:v>
                </c:pt>
                <c:pt idx="8">
                  <c:v>7.9140849095429404</c:v>
                </c:pt>
                <c:pt idx="9">
                  <c:v>7.8734714538943251</c:v>
                </c:pt>
                <c:pt idx="10">
                  <c:v>7.8086314379731858</c:v>
                </c:pt>
                <c:pt idx="11">
                  <c:v>7.750657792014664</c:v>
                </c:pt>
                <c:pt idx="12">
                  <c:v>7.7315532164904788</c:v>
                </c:pt>
                <c:pt idx="13">
                  <c:v>7.6883625694464826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93-48CF-8128-C22290E912DE}"/>
            </c:ext>
          </c:extLst>
        </c:ser>
        <c:ser>
          <c:idx val="5"/>
          <c:order val="5"/>
          <c:tx>
            <c:v>d=6</c:v>
          </c:tx>
          <c:xVal>
            <c:numRef>
              <c:f>'important for phd'!$B$72:$B$85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'important for phd'!$Y$72:$Y$85</c:f>
              <c:numCache>
                <c:formatCode>General</c:formatCode>
                <c:ptCount val="14"/>
                <c:pt idx="0">
                  <c:v>0</c:v>
                </c:pt>
                <c:pt idx="1">
                  <c:v>4.4662676755972743</c:v>
                </c:pt>
                <c:pt idx="2">
                  <c:v>6.157765534189144</c:v>
                </c:pt>
                <c:pt idx="3">
                  <c:v>6.4384103025377231</c:v>
                </c:pt>
                <c:pt idx="4">
                  <c:v>6.529925931022782</c:v>
                </c:pt>
                <c:pt idx="5">
                  <c:v>6.5665527542754765</c:v>
                </c:pt>
                <c:pt idx="6">
                  <c:v>6.579723937071746</c:v>
                </c:pt>
                <c:pt idx="7">
                  <c:v>6.5822351005450201</c:v>
                </c:pt>
                <c:pt idx="8">
                  <c:v>6.5812851013986489</c:v>
                </c:pt>
                <c:pt idx="9">
                  <c:v>6.5770021156831016</c:v>
                </c:pt>
                <c:pt idx="10">
                  <c:v>6.574260941338764</c:v>
                </c:pt>
                <c:pt idx="11">
                  <c:v>6.5679485897612864</c:v>
                </c:pt>
                <c:pt idx="12">
                  <c:v>6.556723987820952</c:v>
                </c:pt>
                <c:pt idx="13">
                  <c:v>6.5457004751033532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93-48CF-8128-C22290E91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59232"/>
        <c:axId val="169443712"/>
      </c:scatterChart>
      <c:valAx>
        <c:axId val="169359232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43712"/>
        <c:crosses val="autoZero"/>
        <c:crossBetween val="midCat"/>
      </c:valAx>
      <c:valAx>
        <c:axId val="1694437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359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240</c:v>
          </c:tx>
          <c:xVal>
            <c:numRef>
              <c:f>'important for phd'!$A$138:$A$143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phd'!$B$138:$B$143</c:f>
              <c:numCache>
                <c:formatCode>General</c:formatCode>
                <c:ptCount val="6"/>
                <c:pt idx="0">
                  <c:v>514.875</c:v>
                </c:pt>
                <c:pt idx="1">
                  <c:v>630.93200000000002</c:v>
                </c:pt>
                <c:pt idx="2">
                  <c:v>729.24</c:v>
                </c:pt>
                <c:pt idx="3">
                  <c:v>901.14</c:v>
                </c:pt>
                <c:pt idx="4">
                  <c:v>1078.46</c:v>
                </c:pt>
                <c:pt idx="5">
                  <c:v>1493.32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C-4C78-95FD-1F8407C297BF}"/>
            </c:ext>
          </c:extLst>
        </c:ser>
        <c:ser>
          <c:idx val="1"/>
          <c:order val="1"/>
          <c:tx>
            <c:v>180</c:v>
          </c:tx>
          <c:xVal>
            <c:numRef>
              <c:f>'important for phd'!$A$144:$A$149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phd'!$B$144:$B$149</c:f>
              <c:numCache>
                <c:formatCode>General</c:formatCode>
                <c:ptCount val="6"/>
                <c:pt idx="0">
                  <c:v>556.38800000000003</c:v>
                </c:pt>
                <c:pt idx="1">
                  <c:v>671.02200000000005</c:v>
                </c:pt>
                <c:pt idx="2">
                  <c:v>765.93200000000002</c:v>
                </c:pt>
                <c:pt idx="3">
                  <c:v>942.81100000000004</c:v>
                </c:pt>
                <c:pt idx="4">
                  <c:v>1124.6559999999999</c:v>
                </c:pt>
                <c:pt idx="5">
                  <c:v>1555.482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CC-4C78-95FD-1F8407C297BF}"/>
            </c:ext>
          </c:extLst>
        </c:ser>
        <c:ser>
          <c:idx val="2"/>
          <c:order val="2"/>
          <c:tx>
            <c:v>120</c:v>
          </c:tx>
          <c:xVal>
            <c:numRef>
              <c:f>'important for phd'!$A$150:$A$155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phd'!$B$150:$B$155</c:f>
              <c:numCache>
                <c:formatCode>General</c:formatCode>
                <c:ptCount val="6"/>
                <c:pt idx="0">
                  <c:v>625.51400000000001</c:v>
                </c:pt>
                <c:pt idx="1">
                  <c:v>708.8</c:v>
                </c:pt>
                <c:pt idx="2">
                  <c:v>823.82500000000005</c:v>
                </c:pt>
                <c:pt idx="3">
                  <c:v>983.59</c:v>
                </c:pt>
                <c:pt idx="4">
                  <c:v>1170.83</c:v>
                </c:pt>
                <c:pt idx="5">
                  <c:v>1618.423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CC-4C78-95FD-1F8407C297BF}"/>
            </c:ext>
          </c:extLst>
        </c:ser>
        <c:ser>
          <c:idx val="3"/>
          <c:order val="3"/>
          <c:tx>
            <c:v>60</c:v>
          </c:tx>
          <c:xVal>
            <c:numRef>
              <c:f>'important for phd'!$A$156:$A$161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phd'!$B$156:$B$161</c:f>
              <c:numCache>
                <c:formatCode>General</c:formatCode>
                <c:ptCount val="6"/>
                <c:pt idx="0">
                  <c:v>778.904</c:v>
                </c:pt>
                <c:pt idx="1">
                  <c:v>909.56</c:v>
                </c:pt>
                <c:pt idx="2">
                  <c:v>974.98</c:v>
                </c:pt>
                <c:pt idx="3">
                  <c:v>1145.48</c:v>
                </c:pt>
                <c:pt idx="4">
                  <c:v>1298.79</c:v>
                </c:pt>
                <c:pt idx="5">
                  <c:v>1778.46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CC-4C78-95FD-1F8407C2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15520"/>
        <c:axId val="166131200"/>
      </c:scatterChart>
      <c:valAx>
        <c:axId val="167915520"/>
        <c:scaling>
          <c:orientation val="minMax"/>
          <c:max val="18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131200"/>
        <c:crosses val="autoZero"/>
        <c:crossBetween val="midCat"/>
        <c:majorUnit val="2"/>
      </c:valAx>
      <c:valAx>
        <c:axId val="166131200"/>
        <c:scaling>
          <c:orientation val="minMax"/>
          <c:min val="4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uz (mm/s)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915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240</c:v>
          </c:tx>
          <c:xVal>
            <c:numRef>
              <c:f>'important for phd'!$A$138:$A$143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phd'!$C$138:$C$143</c:f>
              <c:numCache>
                <c:formatCode>General</c:formatCode>
                <c:ptCount val="6"/>
                <c:pt idx="0">
                  <c:v>9.0820000000000007</c:v>
                </c:pt>
                <c:pt idx="1">
                  <c:v>9.3670000000000009</c:v>
                </c:pt>
                <c:pt idx="2">
                  <c:v>8.8930000000000007</c:v>
                </c:pt>
                <c:pt idx="3">
                  <c:v>8.4920000000000009</c:v>
                </c:pt>
                <c:pt idx="4">
                  <c:v>7.6879999999999997</c:v>
                </c:pt>
                <c:pt idx="5">
                  <c:v>6.5449999999999999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9A-4AFF-90A5-02E70A297F65}"/>
            </c:ext>
          </c:extLst>
        </c:ser>
        <c:ser>
          <c:idx val="1"/>
          <c:order val="1"/>
          <c:tx>
            <c:v>180</c:v>
          </c:tx>
          <c:xVal>
            <c:numRef>
              <c:f>'important for phd'!$A$144:$A$149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phd'!$C$144:$C$149</c:f>
              <c:numCache>
                <c:formatCode>General</c:formatCode>
                <c:ptCount val="6"/>
                <c:pt idx="0">
                  <c:v>9.6999999999999993</c:v>
                </c:pt>
                <c:pt idx="1">
                  <c:v>9.8450000000000006</c:v>
                </c:pt>
                <c:pt idx="2">
                  <c:v>9.2330000000000005</c:v>
                </c:pt>
                <c:pt idx="3">
                  <c:v>8.7530000000000001</c:v>
                </c:pt>
                <c:pt idx="4">
                  <c:v>7.8730000000000002</c:v>
                </c:pt>
                <c:pt idx="5">
                  <c:v>6.577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A-4AFF-90A5-02E70A297F65}"/>
            </c:ext>
          </c:extLst>
        </c:ser>
        <c:ser>
          <c:idx val="2"/>
          <c:order val="2"/>
          <c:tx>
            <c:v>120</c:v>
          </c:tx>
          <c:xVal>
            <c:numRef>
              <c:f>'important for phd'!$A$150:$A$155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phd'!$C$150:$C$155</c:f>
              <c:numCache>
                <c:formatCode>General</c:formatCode>
                <c:ptCount val="6"/>
                <c:pt idx="0">
                  <c:v>10.68</c:v>
                </c:pt>
                <c:pt idx="1">
                  <c:v>10.28</c:v>
                </c:pt>
                <c:pt idx="2">
                  <c:v>9.74</c:v>
                </c:pt>
                <c:pt idx="3">
                  <c:v>8.99</c:v>
                </c:pt>
                <c:pt idx="4">
                  <c:v>8.0440000000000005</c:v>
                </c:pt>
                <c:pt idx="5">
                  <c:v>6.5789999999999997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9A-4AFF-90A5-02E70A297F65}"/>
            </c:ext>
          </c:extLst>
        </c:ser>
        <c:ser>
          <c:idx val="3"/>
          <c:order val="3"/>
          <c:tx>
            <c:v>60</c:v>
          </c:tx>
          <c:xVal>
            <c:numRef>
              <c:f>'important for phd'!$A$156:$A$161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'important for phd'!$C$156:$C$161</c:f>
              <c:numCache>
                <c:formatCode>General</c:formatCode>
                <c:ptCount val="6"/>
                <c:pt idx="0">
                  <c:v>12.69</c:v>
                </c:pt>
                <c:pt idx="1">
                  <c:v>12.355</c:v>
                </c:pt>
                <c:pt idx="2">
                  <c:v>10.944000000000001</c:v>
                </c:pt>
                <c:pt idx="3">
                  <c:v>9.0823</c:v>
                </c:pt>
                <c:pt idx="4">
                  <c:v>8.4369999999999994</c:v>
                </c:pt>
                <c:pt idx="5">
                  <c:v>6.4379999999999997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9A-4AFF-90A5-02E70A29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48608"/>
        <c:axId val="170178048"/>
      </c:scatterChart>
      <c:valAx>
        <c:axId val="170148608"/>
        <c:scaling>
          <c:orientation val="minMax"/>
          <c:max val="18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178048"/>
        <c:crosses val="autoZero"/>
        <c:crossBetween val="midCat"/>
        <c:majorUnit val="2"/>
      </c:valAx>
      <c:valAx>
        <c:axId val="170178048"/>
        <c:scaling>
          <c:orientation val="minMax"/>
          <c:min val="6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ur (mm/s)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148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754380</xdr:colOff>
      <xdr:row>85</xdr:row>
      <xdr:rowOff>102870</xdr:rowOff>
    </xdr:from>
    <xdr:to>
      <xdr:col>19</xdr:col>
      <xdr:colOff>403860</xdr:colOff>
      <xdr:row>100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85</xdr:row>
      <xdr:rowOff>110490</xdr:rowOff>
    </xdr:from>
    <xdr:to>
      <xdr:col>10</xdr:col>
      <xdr:colOff>342900</xdr:colOff>
      <xdr:row>100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1303020</xdr:colOff>
      <xdr:row>85</xdr:row>
      <xdr:rowOff>114300</xdr:rowOff>
    </xdr:from>
    <xdr:to>
      <xdr:col>14</xdr:col>
      <xdr:colOff>594360</xdr:colOff>
      <xdr:row>100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</xdr:colOff>
      <xdr:row>102</xdr:row>
      <xdr:rowOff>68580</xdr:rowOff>
    </xdr:from>
    <xdr:to>
      <xdr:col>10</xdr:col>
      <xdr:colOff>320040</xdr:colOff>
      <xdr:row>117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104</xdr:row>
      <xdr:rowOff>106680</xdr:rowOff>
    </xdr:from>
    <xdr:to>
      <xdr:col>14</xdr:col>
      <xdr:colOff>1242060</xdr:colOff>
      <xdr:row>118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1363980</xdr:colOff>
      <xdr:row>100</xdr:row>
      <xdr:rowOff>106680</xdr:rowOff>
    </xdr:from>
    <xdr:to>
      <xdr:col>20</xdr:col>
      <xdr:colOff>243840</xdr:colOff>
      <xdr:row>117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9</xdr:col>
      <xdr:colOff>434340</xdr:colOff>
      <xdr:row>134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120</xdr:row>
      <xdr:rowOff>0</xdr:rowOff>
    </xdr:from>
    <xdr:to>
      <xdr:col>14</xdr:col>
      <xdr:colOff>1242060</xdr:colOff>
      <xdr:row>133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120</xdr:row>
      <xdr:rowOff>0</xdr:rowOff>
    </xdr:from>
    <xdr:to>
      <xdr:col>22</xdr:col>
      <xdr:colOff>228600</xdr:colOff>
      <xdr:row>133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594360</xdr:colOff>
      <xdr:row>138</xdr:row>
      <xdr:rowOff>19050</xdr:rowOff>
    </xdr:from>
    <xdr:to>
      <xdr:col>11</xdr:col>
      <xdr:colOff>701040</xdr:colOff>
      <xdr:row>153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138</xdr:row>
      <xdr:rowOff>0</xdr:rowOff>
    </xdr:from>
    <xdr:to>
      <xdr:col>14</xdr:col>
      <xdr:colOff>929640</xdr:colOff>
      <xdr:row>153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"/>
  <sheetViews>
    <sheetView workbookViewId="0">
      <selection activeCell="I6" sqref="I6"/>
    </sheetView>
  </sheetViews>
  <sheetFormatPr defaultRowHeight="14.4" x14ac:dyDescent="0.3"/>
  <cols>
    <col min="1" max="1" width="12.44140625" bestFit="1" customWidth="1"/>
    <col min="3" max="3" width="7" bestFit="1" customWidth="1"/>
    <col min="11" max="11" width="20.6640625" bestFit="1" customWidth="1"/>
    <col min="12" max="12" width="14" customWidth="1"/>
    <col min="13" max="13" width="31.21875" bestFit="1" customWidth="1"/>
    <col min="14" max="14" width="21.88671875" bestFit="1" customWidth="1"/>
    <col min="15" max="15" width="26" bestFit="1" customWidth="1"/>
    <col min="16" max="16" width="19" bestFit="1" customWidth="1"/>
    <col min="17" max="17" width="13.88671875" bestFit="1" customWidth="1"/>
    <col min="18" max="18" width="13.4414062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9" t="s">
        <v>5</v>
      </c>
      <c r="G1" s="3" t="s">
        <v>6</v>
      </c>
      <c r="H1" s="3" t="s">
        <v>82</v>
      </c>
      <c r="I1" s="3" t="s">
        <v>83</v>
      </c>
      <c r="J1" s="3" t="s">
        <v>7</v>
      </c>
      <c r="K1" s="3" t="s">
        <v>13</v>
      </c>
      <c r="L1" s="3" t="s">
        <v>8</v>
      </c>
      <c r="M1" s="3" t="s">
        <v>79</v>
      </c>
      <c r="N1" s="3" t="s">
        <v>9</v>
      </c>
      <c r="O1" s="3" t="s">
        <v>10</v>
      </c>
      <c r="P1" s="8" t="s">
        <v>14</v>
      </c>
      <c r="Q1" s="3" t="s">
        <v>16</v>
      </c>
      <c r="R1" s="10" t="s">
        <v>15</v>
      </c>
      <c r="S1" s="8" t="s">
        <v>11</v>
      </c>
      <c r="T1" s="8" t="s">
        <v>17</v>
      </c>
      <c r="U1" s="8" t="s">
        <v>12</v>
      </c>
      <c r="V1" s="8" t="s">
        <v>18</v>
      </c>
      <c r="W1" s="8" t="s">
        <v>84</v>
      </c>
      <c r="X1" s="8" t="s">
        <v>85</v>
      </c>
      <c r="Y1" s="8" t="s">
        <v>86</v>
      </c>
    </row>
    <row r="2" spans="1:25" x14ac:dyDescent="0.3">
      <c r="A2" s="19">
        <v>16</v>
      </c>
      <c r="B2" s="2">
        <v>0</v>
      </c>
      <c r="C2" s="4">
        <v>8</v>
      </c>
      <c r="D2" s="4">
        <v>8.9600000000000009</v>
      </c>
      <c r="E2" s="3">
        <f t="shared" ref="E2:E65" si="0">C2/300</f>
        <v>2.6666666666666668E-2</v>
      </c>
      <c r="F2" s="9">
        <f>D2/8.96</f>
        <v>1</v>
      </c>
      <c r="G2" s="3">
        <f>0.514*(300)^0.5</f>
        <v>8.9027411509040295</v>
      </c>
      <c r="H2" s="3">
        <v>6.8</v>
      </c>
      <c r="I2" s="3">
        <f>E2*(8.96/(D2-H2))</f>
        <v>0.11061728395061723</v>
      </c>
      <c r="J2" s="3">
        <f t="shared" ref="J2:J65" si="1">G2/D2</f>
        <v>0.99360950344911037</v>
      </c>
      <c r="K2" s="3">
        <f>895/D2</f>
        <v>99.888392857142847</v>
      </c>
      <c r="L2" s="3">
        <f>(201.06-K2)/(201.06)*100</f>
        <v>50.319112276363853</v>
      </c>
      <c r="M2" s="3">
        <v>0</v>
      </c>
      <c r="N2" s="3">
        <v>0</v>
      </c>
      <c r="O2" s="3">
        <f t="shared" ref="O2:O15" si="2">N2*C2/(201.06*300)</f>
        <v>0</v>
      </c>
      <c r="P2" s="3">
        <f>SQRT(N2/3.14)</f>
        <v>0</v>
      </c>
      <c r="Q2" s="3">
        <f t="shared" ref="Q2:Q33" si="3">(2*3.14*B2)/60</f>
        <v>0</v>
      </c>
      <c r="R2" s="3">
        <f>1000*((9.81*0.3)-(Q2*P2*10^-3)^2)</f>
        <v>2943</v>
      </c>
      <c r="S2" t="e">
        <f t="shared" ref="S2:S15" si="4">((O72-O2)/O72)*100</f>
        <v>#DIV/0!</v>
      </c>
      <c r="T2" t="e">
        <f>ABS(S2)</f>
        <v>#DIV/0!</v>
      </c>
      <c r="U2">
        <v>-14.285714285714288</v>
      </c>
      <c r="V2">
        <f>ABS(U2)</f>
        <v>14.285714285714288</v>
      </c>
      <c r="W2">
        <f>J2*SQRT(2*9810*300)</f>
        <v>2410.6039595290358</v>
      </c>
      <c r="X2">
        <f>(W2/300)*(P2*(96-P2)/((2*P2)-96))</f>
        <v>0</v>
      </c>
      <c r="Y2">
        <f>ABS(X2)</f>
        <v>0</v>
      </c>
    </row>
    <row r="3" spans="1:25" x14ac:dyDescent="0.3">
      <c r="A3" s="20"/>
      <c r="B3" s="2">
        <v>20</v>
      </c>
      <c r="C3" s="2">
        <v>37</v>
      </c>
      <c r="D3" s="2">
        <v>14.39</v>
      </c>
      <c r="E3" s="3">
        <f t="shared" si="0"/>
        <v>0.12333333333333334</v>
      </c>
      <c r="F3" s="9">
        <f t="shared" ref="F3:F15" si="5">D3/8.96</f>
        <v>1.6060267857142856</v>
      </c>
      <c r="G3" s="3">
        <f t="shared" ref="G3:G15" si="6">0.514*(300)^0.5</f>
        <v>8.9027411509040295</v>
      </c>
      <c r="H3" s="3">
        <v>5.59</v>
      </c>
      <c r="I3" s="3">
        <f>E3*(8.96/(D3-H3))</f>
        <v>0.12557575757575759</v>
      </c>
      <c r="J3" s="3">
        <f t="shared" si="1"/>
        <v>0.61867554905517919</v>
      </c>
      <c r="K3" s="3">
        <f t="shared" ref="K3:K14" si="7">895/D3</f>
        <v>62.195969423210563</v>
      </c>
      <c r="L3" s="3">
        <f t="shared" ref="L3:L15" si="8">(201.06-K3)/(201.06)*100</f>
        <v>69.06596567034191</v>
      </c>
      <c r="M3" s="3">
        <f t="shared" ref="M3:M15" si="9">(-K3+99.88)/(201.06)*100</f>
        <v>18.742679089221838</v>
      </c>
      <c r="N3" s="3">
        <f t="shared" ref="N3:N15" si="10">(-K3+99.88)</f>
        <v>37.684030576789432</v>
      </c>
      <c r="O3" s="3">
        <f t="shared" si="2"/>
        <v>2.3115970876706936E-2</v>
      </c>
      <c r="P3" s="3">
        <f t="shared" ref="P3:P66" si="11">SQRT(N3/3.14)</f>
        <v>3.4642868852306887</v>
      </c>
      <c r="Q3" s="3">
        <f t="shared" si="3"/>
        <v>2.0933333333333333</v>
      </c>
      <c r="R3" s="3">
        <f t="shared" ref="R3:R14" si="12">1000*((9.81*0.3)-(Q3*P3*10^-3)^2)</f>
        <v>2942.9474098417727</v>
      </c>
      <c r="S3">
        <f t="shared" si="4"/>
        <v>-17.07565793333055</v>
      </c>
      <c r="T3">
        <f t="shared" ref="T3:T15" si="13">ABS(S3)</f>
        <v>17.07565793333055</v>
      </c>
      <c r="U3">
        <v>74.657534246575338</v>
      </c>
      <c r="V3">
        <f t="shared" ref="V3:V15" si="14">ABS(U3)</f>
        <v>74.657534246575338</v>
      </c>
      <c r="W3">
        <f t="shared" ref="W3:W66" si="15">J3*SQRT(2*9810*300)</f>
        <v>1500.9736954399</v>
      </c>
      <c r="X3">
        <f t="shared" ref="X3:X66" si="16">(W3/300)*(P3*(96-P3)/((2*P3)-96))</f>
        <v>-18.006804359317506</v>
      </c>
      <c r="Y3">
        <f t="shared" ref="Y3:Y66" si="17">ABS(X3)</f>
        <v>18.006804359317506</v>
      </c>
    </row>
    <row r="4" spans="1:25" x14ac:dyDescent="0.3">
      <c r="A4" s="20"/>
      <c r="B4" s="2">
        <v>40</v>
      </c>
      <c r="C4" s="2">
        <v>95</v>
      </c>
      <c r="D4" s="2">
        <v>23.5</v>
      </c>
      <c r="E4" s="3">
        <f t="shared" si="0"/>
        <v>0.31666666666666665</v>
      </c>
      <c r="F4" s="9">
        <f t="shared" si="5"/>
        <v>2.6227678571428568</v>
      </c>
      <c r="G4" s="3">
        <f t="shared" si="6"/>
        <v>8.9027411509040295</v>
      </c>
      <c r="H4" s="3">
        <v>3.99</v>
      </c>
      <c r="I4" s="3">
        <f t="shared" ref="I4:I15" si="18">E4*(8.96/(D4-H4))</f>
        <v>0.14542969417392793</v>
      </c>
      <c r="J4" s="3">
        <f t="shared" si="1"/>
        <v>0.37884004897463958</v>
      </c>
      <c r="K4" s="3">
        <f t="shared" si="7"/>
        <v>38.085106382978722</v>
      </c>
      <c r="L4" s="3">
        <f t="shared" si="8"/>
        <v>81.057840255158297</v>
      </c>
      <c r="M4" s="3">
        <f t="shared" si="9"/>
        <v>30.734553674038235</v>
      </c>
      <c r="N4" s="3">
        <f t="shared" si="10"/>
        <v>61.794893617021273</v>
      </c>
      <c r="O4" s="3">
        <f t="shared" si="2"/>
        <v>9.7326086634454398E-2</v>
      </c>
      <c r="P4" s="3">
        <f t="shared" si="11"/>
        <v>4.4362036050888101</v>
      </c>
      <c r="Q4" s="3">
        <f t="shared" si="3"/>
        <v>4.1866666666666665</v>
      </c>
      <c r="R4" s="3">
        <f t="shared" si="12"/>
        <v>2942.6550471716314</v>
      </c>
      <c r="S4">
        <f t="shared" si="4"/>
        <v>-41.385595613214129</v>
      </c>
      <c r="T4">
        <f t="shared" si="13"/>
        <v>41.385595613214129</v>
      </c>
      <c r="U4">
        <v>52.736318407960205</v>
      </c>
      <c r="V4">
        <f t="shared" si="14"/>
        <v>52.736318407960205</v>
      </c>
      <c r="W4">
        <f t="shared" si="15"/>
        <v>919.10687137787943</v>
      </c>
      <c r="X4">
        <f t="shared" si="16"/>
        <v>-14.283160105003292</v>
      </c>
      <c r="Y4">
        <f t="shared" si="17"/>
        <v>14.283160105003292</v>
      </c>
    </row>
    <row r="5" spans="1:25" x14ac:dyDescent="0.3">
      <c r="A5" s="20"/>
      <c r="B5" s="2">
        <v>60</v>
      </c>
      <c r="C5" s="2">
        <v>135</v>
      </c>
      <c r="D5" s="2">
        <v>27.73</v>
      </c>
      <c r="E5" s="3">
        <f t="shared" si="0"/>
        <v>0.45</v>
      </c>
      <c r="F5" s="9">
        <f t="shared" si="5"/>
        <v>3.0948660714285712</v>
      </c>
      <c r="G5" s="3">
        <f t="shared" si="6"/>
        <v>8.9027411509040295</v>
      </c>
      <c r="H5" s="3">
        <v>2.93</v>
      </c>
      <c r="I5" s="3">
        <f t="shared" si="18"/>
        <v>0.16258064516129034</v>
      </c>
      <c r="J5" s="3">
        <f t="shared" si="1"/>
        <v>0.32105088896155892</v>
      </c>
      <c r="K5" s="3">
        <f t="shared" si="7"/>
        <v>32.275513883880272</v>
      </c>
      <c r="L5" s="3">
        <f t="shared" si="8"/>
        <v>83.94732225013415</v>
      </c>
      <c r="M5" s="3">
        <f t="shared" si="9"/>
        <v>33.624035669014084</v>
      </c>
      <c r="N5" s="3">
        <f t="shared" si="10"/>
        <v>67.604486116119716</v>
      </c>
      <c r="O5" s="3">
        <f t="shared" si="2"/>
        <v>0.15130816051056339</v>
      </c>
      <c r="P5" s="3">
        <f t="shared" si="11"/>
        <v>4.6400529220886426</v>
      </c>
      <c r="Q5" s="3">
        <f t="shared" si="3"/>
        <v>6.28</v>
      </c>
      <c r="R5" s="3">
        <f t="shared" si="12"/>
        <v>2942.1508876543812</v>
      </c>
      <c r="S5">
        <f t="shared" si="4"/>
        <v>-55.459520024349594</v>
      </c>
      <c r="T5">
        <f t="shared" si="13"/>
        <v>55.459520024349594</v>
      </c>
      <c r="U5">
        <v>40.789473684210527</v>
      </c>
      <c r="V5">
        <f t="shared" si="14"/>
        <v>40.789473684210527</v>
      </c>
      <c r="W5">
        <f t="shared" si="15"/>
        <v>778.90412828633839</v>
      </c>
      <c r="X5">
        <f t="shared" si="16"/>
        <v>-12.691787295980184</v>
      </c>
      <c r="Y5">
        <f t="shared" si="17"/>
        <v>12.691787295980184</v>
      </c>
    </row>
    <row r="6" spans="1:25" x14ac:dyDescent="0.3">
      <c r="A6" s="20"/>
      <c r="B6" s="2">
        <v>80</v>
      </c>
      <c r="C6" s="2">
        <v>158</v>
      </c>
      <c r="D6" s="2">
        <v>29.49</v>
      </c>
      <c r="E6" s="3">
        <f t="shared" si="0"/>
        <v>0.52666666666666662</v>
      </c>
      <c r="F6" s="9">
        <f t="shared" si="5"/>
        <v>3.2912946428571423</v>
      </c>
      <c r="G6" s="3">
        <f t="shared" si="6"/>
        <v>8.9027411509040295</v>
      </c>
      <c r="H6" s="3">
        <v>2.4900000000000002</v>
      </c>
      <c r="I6" s="3">
        <f t="shared" si="18"/>
        <v>0.17477530864197532</v>
      </c>
      <c r="J6" s="3">
        <f t="shared" si="1"/>
        <v>0.30189017127514511</v>
      </c>
      <c r="K6" s="3">
        <f t="shared" si="7"/>
        <v>30.349270939301459</v>
      </c>
      <c r="L6" s="3">
        <f t="shared" si="8"/>
        <v>84.905366090071894</v>
      </c>
      <c r="M6" s="3">
        <f t="shared" si="9"/>
        <v>34.582079508951821</v>
      </c>
      <c r="N6" s="3">
        <f t="shared" si="10"/>
        <v>69.530729060698533</v>
      </c>
      <c r="O6" s="3">
        <f t="shared" si="2"/>
        <v>0.18213228541381293</v>
      </c>
      <c r="P6" s="3">
        <f t="shared" si="11"/>
        <v>4.7056927531285622</v>
      </c>
      <c r="Q6" s="3">
        <f t="shared" si="3"/>
        <v>8.3733333333333331</v>
      </c>
      <c r="R6" s="3">
        <f t="shared" si="12"/>
        <v>2941.4474560764402</v>
      </c>
      <c r="S6">
        <f t="shared" si="4"/>
        <v>-56.75789054088942</v>
      </c>
      <c r="T6">
        <f t="shared" si="13"/>
        <v>56.75789054088942</v>
      </c>
      <c r="U6">
        <v>35.245901639344268</v>
      </c>
      <c r="V6">
        <f t="shared" si="14"/>
        <v>35.245901639344268</v>
      </c>
      <c r="W6">
        <f t="shared" si="15"/>
        <v>732.41815793082958</v>
      </c>
      <c r="X6">
        <f t="shared" si="16"/>
        <v>-12.112793752942096</v>
      </c>
      <c r="Y6">
        <f t="shared" si="17"/>
        <v>12.112793752942096</v>
      </c>
    </row>
    <row r="7" spans="1:25" x14ac:dyDescent="0.3">
      <c r="A7" s="20"/>
      <c r="B7" s="2">
        <v>100</v>
      </c>
      <c r="C7" s="2">
        <v>181</v>
      </c>
      <c r="D7" s="2">
        <v>31.56</v>
      </c>
      <c r="E7" s="3">
        <f t="shared" si="0"/>
        <v>0.60333333333333339</v>
      </c>
      <c r="F7" s="9">
        <f t="shared" si="5"/>
        <v>3.5223214285714279</v>
      </c>
      <c r="G7" s="3">
        <f t="shared" si="6"/>
        <v>8.9027411509040295</v>
      </c>
      <c r="H7" s="3">
        <v>1.9</v>
      </c>
      <c r="I7" s="3">
        <f t="shared" si="18"/>
        <v>0.18226118228815466</v>
      </c>
      <c r="J7" s="3">
        <f t="shared" si="1"/>
        <v>0.28208939007934186</v>
      </c>
      <c r="K7" s="3">
        <f t="shared" si="7"/>
        <v>28.358681875792144</v>
      </c>
      <c r="L7" s="3">
        <f t="shared" si="8"/>
        <v>85.895413371236373</v>
      </c>
      <c r="M7" s="3">
        <f t="shared" si="9"/>
        <v>35.572126790116307</v>
      </c>
      <c r="N7" s="3">
        <f t="shared" si="10"/>
        <v>71.521318124207852</v>
      </c>
      <c r="O7" s="3">
        <f t="shared" si="2"/>
        <v>0.21461849830036839</v>
      </c>
      <c r="P7" s="3">
        <f t="shared" si="11"/>
        <v>4.7725768562144539</v>
      </c>
      <c r="Q7" s="3">
        <f t="shared" si="3"/>
        <v>10.466666666666667</v>
      </c>
      <c r="R7" s="3">
        <f t="shared" si="12"/>
        <v>2940.5047006787777</v>
      </c>
      <c r="S7">
        <f t="shared" si="4"/>
        <v>-65.329776459051033</v>
      </c>
      <c r="T7">
        <f t="shared" si="13"/>
        <v>65.329776459051033</v>
      </c>
      <c r="U7">
        <v>28.740157480314956</v>
      </c>
      <c r="V7">
        <f t="shared" si="14"/>
        <v>28.740157480314956</v>
      </c>
      <c r="W7">
        <f t="shared" si="15"/>
        <v>684.37932437833217</v>
      </c>
      <c r="X7">
        <f t="shared" si="16"/>
        <v>-11.48853420500024</v>
      </c>
      <c r="Y7">
        <f t="shared" si="17"/>
        <v>11.48853420500024</v>
      </c>
    </row>
    <row r="8" spans="1:25" x14ac:dyDescent="0.3">
      <c r="A8" s="20"/>
      <c r="B8" s="2">
        <v>120</v>
      </c>
      <c r="C8" s="2">
        <v>192</v>
      </c>
      <c r="D8" s="2">
        <v>34.53</v>
      </c>
      <c r="E8" s="3">
        <f t="shared" si="0"/>
        <v>0.64</v>
      </c>
      <c r="F8" s="9">
        <f t="shared" si="5"/>
        <v>3.8537946428571428</v>
      </c>
      <c r="G8" s="3">
        <f t="shared" si="6"/>
        <v>8.9027411509040295</v>
      </c>
      <c r="H8" s="3">
        <v>1.78</v>
      </c>
      <c r="I8" s="3">
        <f t="shared" si="18"/>
        <v>0.17509618320610687</v>
      </c>
      <c r="J8" s="3">
        <f t="shared" si="1"/>
        <v>0.25782627138442021</v>
      </c>
      <c r="K8" s="3">
        <f t="shared" si="7"/>
        <v>25.91949029829134</v>
      </c>
      <c r="L8" s="3">
        <f t="shared" si="8"/>
        <v>87.108579380139588</v>
      </c>
      <c r="M8" s="3">
        <f t="shared" si="9"/>
        <v>36.785292799019523</v>
      </c>
      <c r="N8" s="3">
        <f t="shared" si="10"/>
        <v>73.960509701708659</v>
      </c>
      <c r="O8" s="3">
        <f t="shared" si="2"/>
        <v>0.23542587391372499</v>
      </c>
      <c r="P8" s="3">
        <f t="shared" si="11"/>
        <v>4.8532774959581131</v>
      </c>
      <c r="Q8" s="3">
        <f t="shared" si="3"/>
        <v>12.56</v>
      </c>
      <c r="R8" s="3">
        <f t="shared" si="12"/>
        <v>2939.2842239925862</v>
      </c>
      <c r="S8">
        <f t="shared" si="4"/>
        <v>-68.020079958407081</v>
      </c>
      <c r="T8">
        <f t="shared" si="13"/>
        <v>68.020079958407081</v>
      </c>
      <c r="U8">
        <v>26.436781609195396</v>
      </c>
      <c r="V8">
        <f t="shared" si="14"/>
        <v>26.436781609195396</v>
      </c>
      <c r="W8">
        <f t="shared" si="15"/>
        <v>625.51437814596488</v>
      </c>
      <c r="X8">
        <f t="shared" si="16"/>
        <v>-10.68844225609716</v>
      </c>
      <c r="Y8">
        <f t="shared" si="17"/>
        <v>10.68844225609716</v>
      </c>
    </row>
    <row r="9" spans="1:25" x14ac:dyDescent="0.3">
      <c r="A9" s="20"/>
      <c r="B9" s="2">
        <v>140</v>
      </c>
      <c r="C9" s="2">
        <v>207</v>
      </c>
      <c r="D9" s="2">
        <v>35.33</v>
      </c>
      <c r="E9" s="3">
        <f t="shared" si="0"/>
        <v>0.69</v>
      </c>
      <c r="F9" s="9">
        <f t="shared" si="5"/>
        <v>3.9430803571428568</v>
      </c>
      <c r="G9" s="3">
        <f t="shared" si="6"/>
        <v>8.9027411509040295</v>
      </c>
      <c r="H9" s="3">
        <v>1.37</v>
      </c>
      <c r="I9" s="3">
        <f t="shared" si="18"/>
        <v>0.18204946996466434</v>
      </c>
      <c r="J9" s="3">
        <f t="shared" si="1"/>
        <v>0.25198814466187464</v>
      </c>
      <c r="K9" s="3">
        <f t="shared" si="7"/>
        <v>25.332578545145768</v>
      </c>
      <c r="L9" s="3">
        <f t="shared" si="8"/>
        <v>87.400488140283613</v>
      </c>
      <c r="M9" s="3">
        <f t="shared" si="9"/>
        <v>37.077201559163548</v>
      </c>
      <c r="N9" s="3">
        <f t="shared" si="10"/>
        <v>74.547421454854231</v>
      </c>
      <c r="O9" s="3">
        <f t="shared" si="2"/>
        <v>0.25583269075822851</v>
      </c>
      <c r="P9" s="3">
        <f t="shared" si="11"/>
        <v>4.8724959747380936</v>
      </c>
      <c r="Q9" s="3">
        <f t="shared" si="3"/>
        <v>14.653333333333334</v>
      </c>
      <c r="R9" s="3">
        <f t="shared" si="12"/>
        <v>2937.9022816599804</v>
      </c>
      <c r="S9">
        <f t="shared" si="4"/>
        <v>-70.917328680034402</v>
      </c>
      <c r="T9">
        <f t="shared" si="13"/>
        <v>70.917328680034402</v>
      </c>
      <c r="U9">
        <v>23.616236162361627</v>
      </c>
      <c r="V9">
        <f t="shared" si="14"/>
        <v>23.616236162361627</v>
      </c>
      <c r="W9">
        <f t="shared" si="15"/>
        <v>611.3504522326682</v>
      </c>
      <c r="X9">
        <f t="shared" si="16"/>
        <v>-10.490244901570893</v>
      </c>
      <c r="Y9">
        <f t="shared" si="17"/>
        <v>10.490244901570893</v>
      </c>
    </row>
    <row r="10" spans="1:25" x14ac:dyDescent="0.3">
      <c r="A10" s="20"/>
      <c r="B10" s="2">
        <v>160</v>
      </c>
      <c r="C10" s="2">
        <v>226</v>
      </c>
      <c r="D10" s="2">
        <v>36.28</v>
      </c>
      <c r="E10" s="3">
        <f t="shared" si="0"/>
        <v>0.7533333333333333</v>
      </c>
      <c r="F10" s="9">
        <f t="shared" si="5"/>
        <v>4.0491071428571423</v>
      </c>
      <c r="G10" s="3">
        <f t="shared" si="6"/>
        <v>8.9027411509040295</v>
      </c>
      <c r="H10" s="3">
        <v>1.43</v>
      </c>
      <c r="I10" s="3">
        <f t="shared" si="18"/>
        <v>0.19368340506934484</v>
      </c>
      <c r="J10" s="3">
        <f t="shared" si="1"/>
        <v>0.24538977813958185</v>
      </c>
      <c r="K10" s="3">
        <f t="shared" si="7"/>
        <v>24.669239250275634</v>
      </c>
      <c r="L10" s="3">
        <f t="shared" si="8"/>
        <v>87.730409206070021</v>
      </c>
      <c r="M10" s="3">
        <f t="shared" si="9"/>
        <v>37.407122624949949</v>
      </c>
      <c r="N10" s="3">
        <f t="shared" si="10"/>
        <v>75.210760749724358</v>
      </c>
      <c r="O10" s="3">
        <f t="shared" si="2"/>
        <v>0.28180032377462294</v>
      </c>
      <c r="P10" s="3">
        <f t="shared" si="11"/>
        <v>4.8941262321629315</v>
      </c>
      <c r="Q10" s="3">
        <f t="shared" si="3"/>
        <v>16.746666666666666</v>
      </c>
      <c r="R10" s="3">
        <f t="shared" si="12"/>
        <v>2936.2825091198824</v>
      </c>
      <c r="S10">
        <f t="shared" si="4"/>
        <v>-81.206519800796201</v>
      </c>
      <c r="T10">
        <f t="shared" si="13"/>
        <v>81.206519800796201</v>
      </c>
      <c r="U10">
        <v>17.81818181818182</v>
      </c>
      <c r="V10">
        <f t="shared" si="14"/>
        <v>17.81818181818182</v>
      </c>
      <c r="W10">
        <f t="shared" si="15"/>
        <v>595.3421024636209</v>
      </c>
      <c r="X10">
        <f t="shared" si="16"/>
        <v>-10.263617015666597</v>
      </c>
      <c r="Y10">
        <f t="shared" si="17"/>
        <v>10.263617015666597</v>
      </c>
    </row>
    <row r="11" spans="1:25" x14ac:dyDescent="0.3">
      <c r="A11" s="20"/>
      <c r="B11" s="2">
        <v>180</v>
      </c>
      <c r="C11" s="2">
        <v>240</v>
      </c>
      <c r="D11" s="2">
        <v>38.82</v>
      </c>
      <c r="E11" s="3">
        <f t="shared" si="0"/>
        <v>0.8</v>
      </c>
      <c r="F11" s="9">
        <f t="shared" si="5"/>
        <v>4.3325892857142856</v>
      </c>
      <c r="G11" s="3">
        <f t="shared" si="6"/>
        <v>8.9027411509040295</v>
      </c>
      <c r="H11" s="3">
        <v>1.34</v>
      </c>
      <c r="I11" s="3">
        <f t="shared" si="18"/>
        <v>0.19124866595517614</v>
      </c>
      <c r="J11" s="3">
        <f t="shared" si="1"/>
        <v>0.22933387817887763</v>
      </c>
      <c r="K11" s="3">
        <f t="shared" si="7"/>
        <v>23.055126223596083</v>
      </c>
      <c r="L11" s="3">
        <f t="shared" si="8"/>
        <v>88.533210870587837</v>
      </c>
      <c r="M11" s="3">
        <f t="shared" si="9"/>
        <v>38.209924289467772</v>
      </c>
      <c r="N11" s="3">
        <f t="shared" si="10"/>
        <v>76.824873776403905</v>
      </c>
      <c r="O11" s="3">
        <f t="shared" si="2"/>
        <v>0.3056793943157422</v>
      </c>
      <c r="P11" s="3">
        <f t="shared" si="11"/>
        <v>4.9463643528309413</v>
      </c>
      <c r="Q11" s="3">
        <f t="shared" si="3"/>
        <v>18.84</v>
      </c>
      <c r="R11" s="3">
        <f t="shared" si="12"/>
        <v>2934.3157162683156</v>
      </c>
      <c r="S11">
        <f t="shared" si="4"/>
        <v>-88.195201281083385</v>
      </c>
      <c r="T11">
        <f t="shared" si="13"/>
        <v>88.195201281083385</v>
      </c>
      <c r="U11">
        <v>14.285714285714283</v>
      </c>
      <c r="V11">
        <f t="shared" si="14"/>
        <v>14.285714285714283</v>
      </c>
      <c r="W11">
        <f t="shared" si="15"/>
        <v>556.38875521329635</v>
      </c>
      <c r="X11">
        <f t="shared" si="16"/>
        <v>-9.7006460253163311</v>
      </c>
      <c r="Y11">
        <f t="shared" si="17"/>
        <v>9.7006460253163311</v>
      </c>
    </row>
    <row r="12" spans="1:25" x14ac:dyDescent="0.3">
      <c r="A12" s="20"/>
      <c r="B12" s="2">
        <v>200</v>
      </c>
      <c r="C12" s="2">
        <v>250</v>
      </c>
      <c r="D12" s="2">
        <v>38.01</v>
      </c>
      <c r="E12" s="3">
        <f t="shared" si="0"/>
        <v>0.83333333333333337</v>
      </c>
      <c r="F12" s="9">
        <f t="shared" si="5"/>
        <v>4.2421874999999991</v>
      </c>
      <c r="G12" s="3">
        <f t="shared" si="6"/>
        <v>8.9027411509040295</v>
      </c>
      <c r="H12" s="3">
        <v>1.21</v>
      </c>
      <c r="I12" s="3">
        <f t="shared" si="18"/>
        <v>0.20289855072463772</v>
      </c>
      <c r="J12" s="3">
        <f t="shared" si="1"/>
        <v>0.23422102475411813</v>
      </c>
      <c r="K12" s="3">
        <f t="shared" si="7"/>
        <v>23.546435148645095</v>
      </c>
      <c r="L12" s="3">
        <f t="shared" si="8"/>
        <v>88.288851512660358</v>
      </c>
      <c r="M12" s="3">
        <f t="shared" si="9"/>
        <v>37.965564931540293</v>
      </c>
      <c r="N12" s="3">
        <f t="shared" si="10"/>
        <v>76.333564851354907</v>
      </c>
      <c r="O12" s="3">
        <f t="shared" si="2"/>
        <v>0.31637970776283575</v>
      </c>
      <c r="P12" s="3">
        <f t="shared" si="11"/>
        <v>4.9305225382743663</v>
      </c>
      <c r="Q12" s="3">
        <f t="shared" si="3"/>
        <v>20.933333333333334</v>
      </c>
      <c r="R12" s="3">
        <f t="shared" si="12"/>
        <v>2932.3472269496333</v>
      </c>
      <c r="S12">
        <f t="shared" si="4"/>
        <v>-88.735629457689626</v>
      </c>
      <c r="T12">
        <f t="shared" si="13"/>
        <v>88.735629457689626</v>
      </c>
      <c r="U12">
        <v>12.587412587412587</v>
      </c>
      <c r="V12">
        <f t="shared" si="14"/>
        <v>12.587412587412587</v>
      </c>
      <c r="W12">
        <f t="shared" si="15"/>
        <v>568.24550058879674</v>
      </c>
      <c r="X12">
        <f t="shared" si="16"/>
        <v>-9.8737231440061262</v>
      </c>
      <c r="Y12">
        <f t="shared" si="17"/>
        <v>9.8737231440061262</v>
      </c>
    </row>
    <row r="13" spans="1:25" x14ac:dyDescent="0.3">
      <c r="A13" s="20"/>
      <c r="B13" s="2">
        <v>220</v>
      </c>
      <c r="C13" s="2">
        <v>259</v>
      </c>
      <c r="D13" s="2">
        <v>38.57</v>
      </c>
      <c r="E13" s="3">
        <f t="shared" si="0"/>
        <v>0.86333333333333329</v>
      </c>
      <c r="F13" s="9">
        <f t="shared" si="5"/>
        <v>4.3046875</v>
      </c>
      <c r="G13" s="3">
        <f t="shared" si="6"/>
        <v>8.9027411509040295</v>
      </c>
      <c r="H13" s="3">
        <v>1</v>
      </c>
      <c r="I13" s="3">
        <f t="shared" si="18"/>
        <v>0.20589477419927246</v>
      </c>
      <c r="J13" s="3">
        <f t="shared" si="1"/>
        <v>0.23082035651812366</v>
      </c>
      <c r="K13" s="3">
        <f t="shared" si="7"/>
        <v>23.204563131967852</v>
      </c>
      <c r="L13" s="3">
        <f t="shared" si="8"/>
        <v>88.458886336432968</v>
      </c>
      <c r="M13" s="3">
        <f t="shared" si="9"/>
        <v>38.13559975531291</v>
      </c>
      <c r="N13" s="3">
        <f t="shared" si="10"/>
        <v>76.675436868032136</v>
      </c>
      <c r="O13" s="3">
        <f t="shared" si="2"/>
        <v>0.32923734455420145</v>
      </c>
      <c r="P13" s="3">
        <f t="shared" si="11"/>
        <v>4.9415512684645631</v>
      </c>
      <c r="Q13" s="3">
        <f t="shared" si="3"/>
        <v>23.026666666666667</v>
      </c>
      <c r="R13" s="3">
        <f t="shared" si="12"/>
        <v>2930.0524153406045</v>
      </c>
      <c r="S13">
        <f t="shared" si="4"/>
        <v>-90.848654056304611</v>
      </c>
      <c r="T13">
        <f t="shared" si="13"/>
        <v>90.848654056304611</v>
      </c>
      <c r="U13">
        <v>10.380622837370252</v>
      </c>
      <c r="V13">
        <f t="shared" si="14"/>
        <v>10.380622837370252</v>
      </c>
      <c r="W13">
        <f t="shared" si="15"/>
        <v>559.99511219549299</v>
      </c>
      <c r="X13">
        <f t="shared" si="16"/>
        <v>-9.753447698987225</v>
      </c>
      <c r="Y13">
        <f t="shared" si="17"/>
        <v>9.753447698987225</v>
      </c>
    </row>
    <row r="14" spans="1:25" x14ac:dyDescent="0.3">
      <c r="A14" s="20"/>
      <c r="B14" s="2">
        <v>240</v>
      </c>
      <c r="C14" s="2">
        <v>275</v>
      </c>
      <c r="D14" s="2">
        <v>40</v>
      </c>
      <c r="E14" s="3">
        <f t="shared" si="0"/>
        <v>0.91666666666666663</v>
      </c>
      <c r="F14" s="9">
        <f t="shared" si="5"/>
        <v>4.4642857142857135</v>
      </c>
      <c r="G14" s="3">
        <f t="shared" si="6"/>
        <v>8.9027411509040295</v>
      </c>
      <c r="H14" s="3">
        <v>0.87</v>
      </c>
      <c r="I14" s="3">
        <f t="shared" si="18"/>
        <v>0.20989862850327967</v>
      </c>
      <c r="J14" s="3">
        <f t="shared" si="1"/>
        <v>0.22256852877260075</v>
      </c>
      <c r="K14" s="3">
        <f t="shared" si="7"/>
        <v>22.375</v>
      </c>
      <c r="L14" s="3">
        <f t="shared" si="8"/>
        <v>88.871481149905492</v>
      </c>
      <c r="M14" s="3">
        <f t="shared" si="9"/>
        <v>38.548194568785433</v>
      </c>
      <c r="N14" s="3">
        <f t="shared" si="10"/>
        <v>77.504999999999995</v>
      </c>
      <c r="O14" s="3">
        <f t="shared" si="2"/>
        <v>0.35335845021386653</v>
      </c>
      <c r="P14" s="3">
        <f t="shared" si="11"/>
        <v>4.9682110481649504</v>
      </c>
      <c r="Q14" s="3">
        <f t="shared" si="3"/>
        <v>25.12</v>
      </c>
      <c r="R14" s="3">
        <f t="shared" si="12"/>
        <v>2927.4245952000001</v>
      </c>
      <c r="S14">
        <f t="shared" si="4"/>
        <v>-95.251260599762318</v>
      </c>
      <c r="T14">
        <f t="shared" si="13"/>
        <v>95.251260599762318</v>
      </c>
      <c r="U14">
        <v>7.094594594594601</v>
      </c>
      <c r="V14">
        <f t="shared" si="14"/>
        <v>7.094594594594601</v>
      </c>
      <c r="W14">
        <f t="shared" si="15"/>
        <v>539.97528693450408</v>
      </c>
      <c r="X14">
        <f t="shared" si="16"/>
        <v>-9.4585888121716817</v>
      </c>
      <c r="Y14">
        <f t="shared" si="17"/>
        <v>9.4585888121716817</v>
      </c>
    </row>
    <row r="15" spans="1:25" x14ac:dyDescent="0.3">
      <c r="A15" s="21"/>
      <c r="B15" s="5">
        <v>260</v>
      </c>
      <c r="C15" s="5">
        <v>282</v>
      </c>
      <c r="D15" s="5">
        <v>41.95</v>
      </c>
      <c r="E15" s="5">
        <f t="shared" si="0"/>
        <v>0.94</v>
      </c>
      <c r="F15" s="5">
        <f t="shared" si="5"/>
        <v>4.6819196428571423</v>
      </c>
      <c r="G15" s="5">
        <f t="shared" si="6"/>
        <v>8.9027411509040295</v>
      </c>
      <c r="H15" s="5">
        <v>0.72</v>
      </c>
      <c r="I15" s="5">
        <f t="shared" si="18"/>
        <v>0.20427843803056026</v>
      </c>
      <c r="J15" s="5">
        <f t="shared" si="1"/>
        <v>0.21222267344228912</v>
      </c>
      <c r="K15" s="5">
        <f>895/D15</f>
        <v>21.334922526817639</v>
      </c>
      <c r="L15" s="5">
        <f t="shared" si="8"/>
        <v>89.388778212067223</v>
      </c>
      <c r="M15" s="5">
        <f t="shared" si="9"/>
        <v>39.065491630947157</v>
      </c>
      <c r="N15" s="5">
        <f t="shared" si="10"/>
        <v>78.54507747318236</v>
      </c>
      <c r="O15" s="5">
        <f t="shared" si="2"/>
        <v>0.3672156213309033</v>
      </c>
      <c r="P15" s="5">
        <f t="shared" si="11"/>
        <v>5.0014353822856794</v>
      </c>
      <c r="Q15" s="5">
        <f t="shared" si="3"/>
        <v>27.213333333333331</v>
      </c>
      <c r="R15" s="5">
        <f>1000*((9.81*0.3)-(Q15*P15*10^-3)^2)</f>
        <v>2924.4752307502581</v>
      </c>
      <c r="S15" s="5">
        <f t="shared" si="4"/>
        <v>-97.857715551888418</v>
      </c>
      <c r="T15" s="5">
        <f t="shared" si="13"/>
        <v>97.857715551888418</v>
      </c>
      <c r="U15" s="5">
        <v>5.3691275167785246</v>
      </c>
      <c r="V15" s="5">
        <f t="shared" si="14"/>
        <v>5.3691275167785246</v>
      </c>
      <c r="W15" s="5">
        <f t="shared" si="15"/>
        <v>514.87512460977746</v>
      </c>
      <c r="X15" s="5">
        <f t="shared" si="16"/>
        <v>-9.0829287127163241</v>
      </c>
      <c r="Y15" s="5">
        <f t="shared" si="17"/>
        <v>9.0829287127163241</v>
      </c>
    </row>
    <row r="16" spans="1:25" x14ac:dyDescent="0.3">
      <c r="A16" s="19">
        <v>14</v>
      </c>
      <c r="B16" s="2">
        <v>0</v>
      </c>
      <c r="C16" s="2">
        <v>13</v>
      </c>
      <c r="D16" s="2">
        <v>11.67</v>
      </c>
      <c r="E16" s="6">
        <f t="shared" si="0"/>
        <v>4.3333333333333335E-2</v>
      </c>
      <c r="F16" s="9">
        <f t="shared" ref="F16:F29" si="19">D16/11.67</f>
        <v>1</v>
      </c>
      <c r="G16" s="6">
        <f>0.671*(300)^0.5</f>
        <v>11.622060918787168</v>
      </c>
      <c r="H16" s="6">
        <v>7.76</v>
      </c>
      <c r="I16" s="6">
        <f t="shared" ref="I16:I29" si="20">E16*(11.67/(D16-H16))</f>
        <v>0.12933503836317137</v>
      </c>
      <c r="J16" s="6">
        <f t="shared" si="1"/>
        <v>0.99589210957902041</v>
      </c>
      <c r="K16" s="6">
        <f>895/D16</f>
        <v>76.692373607540702</v>
      </c>
      <c r="L16" s="6">
        <f t="shared" ref="L16:L29" si="21">(153.94-K16)/(153.94)*100</f>
        <v>50.180347143341109</v>
      </c>
      <c r="M16" s="6">
        <v>0</v>
      </c>
      <c r="N16" s="6">
        <v>0</v>
      </c>
      <c r="O16" s="6">
        <f t="shared" ref="O16:O29" si="22">N16*C16/(153.94*300)</f>
        <v>0</v>
      </c>
      <c r="P16" s="3">
        <f t="shared" si="11"/>
        <v>0</v>
      </c>
      <c r="Q16" s="3">
        <f t="shared" si="3"/>
        <v>0</v>
      </c>
      <c r="R16" s="3">
        <f t="shared" ref="R16:R79" si="23">1000*(9.81*0.3-(Q16*P16*10^-3)^2)</f>
        <v>2943</v>
      </c>
      <c r="W16">
        <f t="shared" si="15"/>
        <v>2416.1418085086461</v>
      </c>
      <c r="X16">
        <f t="shared" si="16"/>
        <v>0</v>
      </c>
      <c r="Y16">
        <f t="shared" si="17"/>
        <v>0</v>
      </c>
    </row>
    <row r="17" spans="1:25" x14ac:dyDescent="0.3">
      <c r="A17" s="20"/>
      <c r="B17" s="2">
        <v>20</v>
      </c>
      <c r="C17" s="2">
        <v>47</v>
      </c>
      <c r="D17" s="2">
        <v>20.2</v>
      </c>
      <c r="E17" s="6">
        <f t="shared" si="0"/>
        <v>0.15666666666666668</v>
      </c>
      <c r="F17" s="9">
        <f t="shared" si="19"/>
        <v>1.7309340188517566</v>
      </c>
      <c r="G17" s="6">
        <f t="shared" ref="G17:G29" si="24">0.671*(300)^0.5</f>
        <v>11.622060918787168</v>
      </c>
      <c r="H17" s="6">
        <v>6.61</v>
      </c>
      <c r="I17" s="6">
        <f t="shared" si="20"/>
        <v>0.13453274466519502</v>
      </c>
      <c r="J17" s="6">
        <f t="shared" si="1"/>
        <v>0.57534955043500835</v>
      </c>
      <c r="K17" s="6">
        <f t="shared" ref="K17:K80" si="25">895/D17</f>
        <v>44.306930693069312</v>
      </c>
      <c r="L17" s="6">
        <f t="shared" si="21"/>
        <v>71.218052037761908</v>
      </c>
      <c r="M17" s="6">
        <f t="shared" ref="M17:M29" si="26">(-K17+76.692)/(153.94)*100</f>
        <v>21.03746219756443</v>
      </c>
      <c r="N17" s="6">
        <f t="shared" ref="N17:N29" si="27">(-K17+76.6923)</f>
        <v>32.385369306930691</v>
      </c>
      <c r="O17" s="6">
        <f t="shared" si="22"/>
        <v>3.2958996089942884E-2</v>
      </c>
      <c r="P17" s="3">
        <f t="shared" si="11"/>
        <v>3.2115123977945528</v>
      </c>
      <c r="Q17" s="3">
        <f t="shared" si="3"/>
        <v>2.0933333333333333</v>
      </c>
      <c r="R17" s="3">
        <f t="shared" si="23"/>
        <v>2942.9548044179451</v>
      </c>
      <c r="W17">
        <f t="shared" si="15"/>
        <v>1395.8601438265298</v>
      </c>
      <c r="X17">
        <f t="shared" si="16"/>
        <v>-15.478467438520846</v>
      </c>
      <c r="Y17">
        <f t="shared" si="17"/>
        <v>15.478467438520846</v>
      </c>
    </row>
    <row r="18" spans="1:25" x14ac:dyDescent="0.3">
      <c r="A18" s="20"/>
      <c r="B18" s="2">
        <v>40</v>
      </c>
      <c r="C18" s="2">
        <v>117</v>
      </c>
      <c r="D18" s="2">
        <v>26.75</v>
      </c>
      <c r="E18" s="6">
        <f t="shared" si="0"/>
        <v>0.39</v>
      </c>
      <c r="F18" s="9">
        <f t="shared" si="19"/>
        <v>2.2922022279348759</v>
      </c>
      <c r="G18" s="6">
        <f t="shared" si="24"/>
        <v>11.622060918787168</v>
      </c>
      <c r="H18" s="6">
        <v>4.33</v>
      </c>
      <c r="I18" s="6">
        <f t="shared" si="20"/>
        <v>0.20300178412132025</v>
      </c>
      <c r="J18" s="6">
        <f t="shared" si="1"/>
        <v>0.43446956705746426</v>
      </c>
      <c r="K18" s="6">
        <f t="shared" si="25"/>
        <v>33.457943925233643</v>
      </c>
      <c r="L18" s="6">
        <f t="shared" si="21"/>
        <v>78.26559443599217</v>
      </c>
      <c r="M18" s="6">
        <f t="shared" si="26"/>
        <v>28.085004595794693</v>
      </c>
      <c r="N18" s="6">
        <f t="shared" si="27"/>
        <v>43.23435607476636</v>
      </c>
      <c r="O18" s="6">
        <f t="shared" si="22"/>
        <v>0.10953227795997714</v>
      </c>
      <c r="P18" s="3">
        <f t="shared" si="11"/>
        <v>3.7106472762207292</v>
      </c>
      <c r="Q18" s="3">
        <f t="shared" si="3"/>
        <v>4.1866666666666665</v>
      </c>
      <c r="R18" s="3">
        <f t="shared" si="23"/>
        <v>2942.7586562167562</v>
      </c>
      <c r="W18">
        <f t="shared" si="15"/>
        <v>1054.0700899176038</v>
      </c>
      <c r="X18">
        <f t="shared" si="16"/>
        <v>-13.583765635714228</v>
      </c>
      <c r="Y18">
        <f t="shared" si="17"/>
        <v>13.583765635714228</v>
      </c>
    </row>
    <row r="19" spans="1:25" x14ac:dyDescent="0.3">
      <c r="A19" s="20"/>
      <c r="B19" s="2">
        <v>60</v>
      </c>
      <c r="C19" s="2">
        <v>149</v>
      </c>
      <c r="D19" s="2">
        <v>31</v>
      </c>
      <c r="E19" s="6">
        <f t="shared" si="0"/>
        <v>0.49666666666666665</v>
      </c>
      <c r="F19" s="9">
        <f t="shared" si="19"/>
        <v>2.6563838903170525</v>
      </c>
      <c r="G19" s="6">
        <f t="shared" si="24"/>
        <v>11.622060918787168</v>
      </c>
      <c r="H19" s="6">
        <v>3.37</v>
      </c>
      <c r="I19" s="6">
        <f t="shared" si="20"/>
        <v>0.20977560622511762</v>
      </c>
      <c r="J19" s="6">
        <f t="shared" si="1"/>
        <v>0.37490519092861835</v>
      </c>
      <c r="K19" s="6">
        <f t="shared" si="25"/>
        <v>28.870967741935484</v>
      </c>
      <c r="L19" s="6">
        <f t="shared" si="21"/>
        <v>81.245311327831956</v>
      </c>
      <c r="M19" s="6">
        <f t="shared" si="26"/>
        <v>31.064721487634472</v>
      </c>
      <c r="N19" s="6">
        <f t="shared" si="27"/>
        <v>47.821332258064515</v>
      </c>
      <c r="O19" s="6">
        <f t="shared" si="22"/>
        <v>0.15428908463149307</v>
      </c>
      <c r="P19" s="3">
        <f t="shared" si="11"/>
        <v>3.9025278537206023</v>
      </c>
      <c r="Q19" s="3">
        <f t="shared" si="3"/>
        <v>6.28</v>
      </c>
      <c r="R19" s="3">
        <f t="shared" si="23"/>
        <v>2942.3993640668391</v>
      </c>
      <c r="W19">
        <f t="shared" si="15"/>
        <v>909.56048081599681</v>
      </c>
      <c r="X19">
        <f t="shared" si="16"/>
        <v>-12.355500968752803</v>
      </c>
      <c r="Y19">
        <f t="shared" si="17"/>
        <v>12.355500968752803</v>
      </c>
    </row>
    <row r="20" spans="1:25" x14ac:dyDescent="0.3">
      <c r="A20" s="20"/>
      <c r="B20" s="2">
        <v>80</v>
      </c>
      <c r="C20" s="2">
        <v>173</v>
      </c>
      <c r="D20" s="2">
        <v>35.81</v>
      </c>
      <c r="E20" s="6">
        <f t="shared" si="0"/>
        <v>0.57666666666666666</v>
      </c>
      <c r="F20" s="9">
        <f t="shared" si="19"/>
        <v>3.0685518423307627</v>
      </c>
      <c r="G20" s="6">
        <f t="shared" si="24"/>
        <v>11.622060918787168</v>
      </c>
      <c r="H20" s="6">
        <v>3.2</v>
      </c>
      <c r="I20" s="6">
        <f t="shared" si="20"/>
        <v>0.20636921189819074</v>
      </c>
      <c r="J20" s="6">
        <f t="shared" si="1"/>
        <v>0.3245479173076562</v>
      </c>
      <c r="K20" s="6">
        <f t="shared" si="25"/>
        <v>24.99301870985758</v>
      </c>
      <c r="L20" s="6">
        <f t="shared" si="21"/>
        <v>83.764441529259727</v>
      </c>
      <c r="M20" s="6">
        <f t="shared" si="26"/>
        <v>33.583851689062236</v>
      </c>
      <c r="N20" s="6">
        <f t="shared" si="27"/>
        <v>51.699281290142423</v>
      </c>
      <c r="O20" s="6">
        <f t="shared" si="22"/>
        <v>0.19366800188806543</v>
      </c>
      <c r="P20" s="3">
        <f t="shared" si="11"/>
        <v>4.0576765844971634</v>
      </c>
      <c r="Q20" s="3">
        <f t="shared" si="3"/>
        <v>8.3733333333333331</v>
      </c>
      <c r="R20" s="3">
        <f t="shared" si="23"/>
        <v>2941.8456124924369</v>
      </c>
      <c r="W20">
        <f t="shared" si="15"/>
        <v>787.38829671309406</v>
      </c>
      <c r="X20">
        <f t="shared" si="16"/>
        <v>-11.141600754214437</v>
      </c>
      <c r="Y20">
        <f t="shared" si="17"/>
        <v>11.141600754214437</v>
      </c>
    </row>
    <row r="21" spans="1:25" x14ac:dyDescent="0.3">
      <c r="A21" s="20"/>
      <c r="B21" s="2">
        <v>100</v>
      </c>
      <c r="C21" s="2">
        <v>193</v>
      </c>
      <c r="D21" s="2">
        <v>37.1</v>
      </c>
      <c r="E21" s="6">
        <f t="shared" si="0"/>
        <v>0.64333333333333331</v>
      </c>
      <c r="F21" s="9">
        <f t="shared" si="19"/>
        <v>3.1790916880891174</v>
      </c>
      <c r="G21" s="6">
        <f t="shared" si="24"/>
        <v>11.622060918787168</v>
      </c>
      <c r="H21" s="6">
        <v>2.2999999999999998</v>
      </c>
      <c r="I21" s="6">
        <f t="shared" si="20"/>
        <v>0.21573850574712641</v>
      </c>
      <c r="J21" s="6">
        <f t="shared" si="1"/>
        <v>0.31326309754143311</v>
      </c>
      <c r="K21" s="6">
        <f t="shared" si="25"/>
        <v>24.123989218328841</v>
      </c>
      <c r="L21" s="6">
        <f t="shared" si="21"/>
        <v>84.328966338619708</v>
      </c>
      <c r="M21" s="6">
        <f t="shared" si="26"/>
        <v>34.148376498422209</v>
      </c>
      <c r="N21" s="6">
        <f t="shared" si="27"/>
        <v>52.568310781671158</v>
      </c>
      <c r="O21" s="6">
        <f t="shared" si="22"/>
        <v>0.21968914254173777</v>
      </c>
      <c r="P21" s="3">
        <f t="shared" si="11"/>
        <v>4.0916378443038992</v>
      </c>
      <c r="Q21" s="3">
        <f t="shared" si="3"/>
        <v>10.466666666666667</v>
      </c>
      <c r="R21" s="3">
        <f t="shared" si="23"/>
        <v>2941.1659500460614</v>
      </c>
      <c r="W21">
        <f t="shared" si="15"/>
        <v>760.01010526404036</v>
      </c>
      <c r="X21">
        <f t="shared" si="16"/>
        <v>-10.848584910403572</v>
      </c>
      <c r="Y21">
        <f t="shared" si="17"/>
        <v>10.848584910403572</v>
      </c>
    </row>
    <row r="22" spans="1:25" x14ac:dyDescent="0.3">
      <c r="A22" s="20"/>
      <c r="B22" s="2">
        <v>120</v>
      </c>
      <c r="C22" s="2">
        <v>213</v>
      </c>
      <c r="D22" s="2">
        <v>39.78</v>
      </c>
      <c r="E22" s="6">
        <f t="shared" si="0"/>
        <v>0.71</v>
      </c>
      <c r="F22" s="9">
        <f t="shared" si="19"/>
        <v>3.4087403598971724</v>
      </c>
      <c r="G22" s="6">
        <f t="shared" si="24"/>
        <v>11.622060918787168</v>
      </c>
      <c r="H22" s="6">
        <v>1.78</v>
      </c>
      <c r="I22" s="6">
        <f t="shared" si="20"/>
        <v>0.21804473684210524</v>
      </c>
      <c r="J22" s="6">
        <f t="shared" si="1"/>
        <v>0.29215839413743511</v>
      </c>
      <c r="K22" s="6">
        <f t="shared" si="25"/>
        <v>22.498743086978379</v>
      </c>
      <c r="L22" s="6">
        <f t="shared" si="21"/>
        <v>85.384732306756931</v>
      </c>
      <c r="M22" s="6">
        <f t="shared" si="26"/>
        <v>35.204142466559446</v>
      </c>
      <c r="N22" s="6">
        <f t="shared" si="27"/>
        <v>54.193556913021624</v>
      </c>
      <c r="O22" s="6">
        <f t="shared" si="22"/>
        <v>0.24995079516854196</v>
      </c>
      <c r="P22" s="3">
        <f t="shared" si="11"/>
        <v>4.1544066433471754</v>
      </c>
      <c r="Q22" s="3">
        <f t="shared" si="3"/>
        <v>12.56</v>
      </c>
      <c r="R22" s="3">
        <f t="shared" si="23"/>
        <v>2940.27731570069</v>
      </c>
      <c r="W22">
        <f t="shared" si="15"/>
        <v>708.80781561829815</v>
      </c>
      <c r="X22">
        <f t="shared" si="16"/>
        <v>-10.280603834023049</v>
      </c>
      <c r="Y22">
        <f t="shared" si="17"/>
        <v>10.280603834023049</v>
      </c>
    </row>
    <row r="23" spans="1:25" x14ac:dyDescent="0.3">
      <c r="A23" s="20"/>
      <c r="B23" s="2">
        <v>140</v>
      </c>
      <c r="C23" s="2">
        <v>226</v>
      </c>
      <c r="D23" s="2">
        <v>40.68</v>
      </c>
      <c r="E23" s="6">
        <f t="shared" si="0"/>
        <v>0.7533333333333333</v>
      </c>
      <c r="F23" s="9">
        <f t="shared" si="19"/>
        <v>3.48586118251928</v>
      </c>
      <c r="G23" s="6">
        <f t="shared" si="24"/>
        <v>11.622060918787168</v>
      </c>
      <c r="H23" s="6">
        <v>1.68</v>
      </c>
      <c r="I23" s="6">
        <f t="shared" si="20"/>
        <v>0.22542051282051281</v>
      </c>
      <c r="J23" s="6">
        <f t="shared" si="1"/>
        <v>0.28569471285120868</v>
      </c>
      <c r="K23" s="6">
        <f t="shared" si="25"/>
        <v>22.000983284169124</v>
      </c>
      <c r="L23" s="6">
        <f t="shared" si="21"/>
        <v>85.70807893713841</v>
      </c>
      <c r="M23" s="6">
        <f t="shared" si="26"/>
        <v>35.527489096940933</v>
      </c>
      <c r="N23" s="6">
        <f t="shared" si="27"/>
        <v>54.69131671583088</v>
      </c>
      <c r="O23" s="6">
        <f t="shared" si="22"/>
        <v>0.26764188596807797</v>
      </c>
      <c r="P23" s="3">
        <f t="shared" si="11"/>
        <v>4.1734418395948891</v>
      </c>
      <c r="Q23" s="3">
        <f t="shared" si="3"/>
        <v>14.653333333333334</v>
      </c>
      <c r="R23" s="3">
        <f t="shared" si="23"/>
        <v>2939.2600862267118</v>
      </c>
      <c r="W23">
        <f t="shared" si="15"/>
        <v>693.12622677718537</v>
      </c>
      <c r="X23">
        <f t="shared" si="16"/>
        <v>-10.101512099093844</v>
      </c>
      <c r="Y23">
        <f t="shared" si="17"/>
        <v>10.101512099093844</v>
      </c>
    </row>
    <row r="24" spans="1:25" x14ac:dyDescent="0.3">
      <c r="A24" s="20"/>
      <c r="B24" s="2">
        <v>160</v>
      </c>
      <c r="C24" s="2">
        <v>237</v>
      </c>
      <c r="D24" s="2">
        <v>41.14</v>
      </c>
      <c r="E24" s="6">
        <f t="shared" si="0"/>
        <v>0.79</v>
      </c>
      <c r="F24" s="9">
        <f t="shared" si="19"/>
        <v>3.5252784918594688</v>
      </c>
      <c r="G24" s="6">
        <f t="shared" si="24"/>
        <v>11.622060918787168</v>
      </c>
      <c r="H24" s="6">
        <v>1.59</v>
      </c>
      <c r="I24" s="6">
        <f t="shared" si="20"/>
        <v>0.23310493046776234</v>
      </c>
      <c r="J24" s="6">
        <f t="shared" si="1"/>
        <v>0.28250026540561907</v>
      </c>
      <c r="K24" s="6">
        <f t="shared" si="25"/>
        <v>21.754982984929509</v>
      </c>
      <c r="L24" s="6">
        <f t="shared" si="21"/>
        <v>85.867881651988114</v>
      </c>
      <c r="M24" s="6">
        <f t="shared" si="26"/>
        <v>35.687291811790622</v>
      </c>
      <c r="N24" s="6">
        <f t="shared" si="27"/>
        <v>54.937317015070491</v>
      </c>
      <c r="O24" s="6">
        <f t="shared" si="22"/>
        <v>0.28193114487401383</v>
      </c>
      <c r="P24" s="3">
        <f t="shared" si="11"/>
        <v>4.1828173319934727</v>
      </c>
      <c r="Q24" s="3">
        <f t="shared" si="3"/>
        <v>16.746666666666666</v>
      </c>
      <c r="R24" s="3">
        <f t="shared" si="23"/>
        <v>2938.0932430100675</v>
      </c>
      <c r="W24">
        <f t="shared" si="15"/>
        <v>685.37615229207336</v>
      </c>
      <c r="X24">
        <f t="shared" si="16"/>
        <v>-10.012122396419242</v>
      </c>
      <c r="Y24">
        <f t="shared" si="17"/>
        <v>10.012122396419242</v>
      </c>
    </row>
    <row r="25" spans="1:25" x14ac:dyDescent="0.3">
      <c r="A25" s="20"/>
      <c r="B25" s="2">
        <v>180</v>
      </c>
      <c r="C25" s="2">
        <v>249</v>
      </c>
      <c r="D25" s="2">
        <v>42.02</v>
      </c>
      <c r="E25" s="6">
        <f t="shared" si="0"/>
        <v>0.83</v>
      </c>
      <c r="F25" s="9">
        <f t="shared" si="19"/>
        <v>3.6006855184233078</v>
      </c>
      <c r="G25" s="6">
        <f t="shared" si="24"/>
        <v>11.622060918787168</v>
      </c>
      <c r="H25" s="6">
        <v>1.4</v>
      </c>
      <c r="I25" s="6">
        <f t="shared" si="20"/>
        <v>0.23845642540620379</v>
      </c>
      <c r="J25" s="6">
        <f t="shared" si="1"/>
        <v>0.27658402948089406</v>
      </c>
      <c r="K25" s="6">
        <f t="shared" si="25"/>
        <v>21.299381247025224</v>
      </c>
      <c r="L25" s="6">
        <f t="shared" si="21"/>
        <v>86.163842245663744</v>
      </c>
      <c r="M25" s="6">
        <f t="shared" si="26"/>
        <v>35.983252405466267</v>
      </c>
      <c r="N25" s="6">
        <f t="shared" si="27"/>
        <v>55.392918752974779</v>
      </c>
      <c r="O25" s="6">
        <f t="shared" si="22"/>
        <v>0.29866261247868692</v>
      </c>
      <c r="P25" s="3">
        <f t="shared" si="11"/>
        <v>4.2001258228413789</v>
      </c>
      <c r="Q25" s="3">
        <f t="shared" si="3"/>
        <v>18.84</v>
      </c>
      <c r="R25" s="3">
        <f t="shared" si="23"/>
        <v>2936.7383844641636</v>
      </c>
      <c r="W25">
        <f t="shared" si="15"/>
        <v>671.02272501894095</v>
      </c>
      <c r="X25">
        <f t="shared" si="16"/>
        <v>-9.8450403787296832</v>
      </c>
      <c r="Y25">
        <f t="shared" si="17"/>
        <v>9.8450403787296832</v>
      </c>
    </row>
    <row r="26" spans="1:25" x14ac:dyDescent="0.3">
      <c r="A26" s="20"/>
      <c r="B26" s="2">
        <v>200</v>
      </c>
      <c r="C26" s="2">
        <v>255</v>
      </c>
      <c r="D26" s="2">
        <v>42.23</v>
      </c>
      <c r="E26" s="6">
        <f t="shared" si="0"/>
        <v>0.85</v>
      </c>
      <c r="F26" s="9">
        <f t="shared" si="19"/>
        <v>3.6186803770351328</v>
      </c>
      <c r="G26" s="6">
        <f t="shared" si="24"/>
        <v>11.622060918787168</v>
      </c>
      <c r="H26" s="6">
        <v>1.0900000000000001</v>
      </c>
      <c r="I26" s="6">
        <f t="shared" si="20"/>
        <v>0.24111570247933886</v>
      </c>
      <c r="J26" s="6">
        <f t="shared" si="1"/>
        <v>0.27520864122157634</v>
      </c>
      <c r="K26" s="6">
        <f t="shared" si="25"/>
        <v>21.193464361828084</v>
      </c>
      <c r="L26" s="6">
        <f t="shared" si="21"/>
        <v>86.232646250598876</v>
      </c>
      <c r="M26" s="6">
        <f t="shared" si="26"/>
        <v>36.052056410401399</v>
      </c>
      <c r="N26" s="6">
        <f t="shared" si="27"/>
        <v>55.498835638171919</v>
      </c>
      <c r="O26" s="6">
        <f t="shared" si="22"/>
        <v>0.30644413597795328</v>
      </c>
      <c r="P26" s="3">
        <f t="shared" si="11"/>
        <v>4.2041394386723159</v>
      </c>
      <c r="Q26" s="3">
        <f t="shared" si="3"/>
        <v>20.933333333333334</v>
      </c>
      <c r="R26" s="3">
        <f t="shared" si="23"/>
        <v>2935.2548291598282</v>
      </c>
      <c r="W26">
        <f t="shared" si="15"/>
        <v>667.68588456774569</v>
      </c>
      <c r="X26">
        <f t="shared" si="16"/>
        <v>-9.8059142162661885</v>
      </c>
      <c r="Y26">
        <f t="shared" si="17"/>
        <v>9.8059142162661885</v>
      </c>
    </row>
    <row r="27" spans="1:25" x14ac:dyDescent="0.3">
      <c r="A27" s="20"/>
      <c r="B27" s="2">
        <v>220</v>
      </c>
      <c r="C27" s="2">
        <v>269</v>
      </c>
      <c r="D27" s="2">
        <v>43.01</v>
      </c>
      <c r="E27" s="6">
        <f t="shared" si="0"/>
        <v>0.89666666666666661</v>
      </c>
      <c r="F27" s="9">
        <f t="shared" si="19"/>
        <v>3.6855184233076264</v>
      </c>
      <c r="G27" s="6">
        <f t="shared" si="24"/>
        <v>11.622060918787168</v>
      </c>
      <c r="H27" s="6">
        <v>0.9</v>
      </c>
      <c r="I27" s="6">
        <f t="shared" si="20"/>
        <v>0.24849441937781996</v>
      </c>
      <c r="J27" s="6">
        <f t="shared" si="1"/>
        <v>0.27021764517059216</v>
      </c>
      <c r="K27" s="6">
        <f t="shared" si="25"/>
        <v>20.809114159497792</v>
      </c>
      <c r="L27" s="6">
        <f t="shared" si="21"/>
        <v>86.482321580162534</v>
      </c>
      <c r="M27" s="6">
        <f t="shared" si="26"/>
        <v>36.301731739965049</v>
      </c>
      <c r="N27" s="6">
        <f t="shared" si="27"/>
        <v>55.883185840502207</v>
      </c>
      <c r="O27" s="6">
        <f t="shared" si="22"/>
        <v>0.32550727536908519</v>
      </c>
      <c r="P27" s="3">
        <f t="shared" si="11"/>
        <v>4.2186719406508839</v>
      </c>
      <c r="Q27" s="3">
        <f t="shared" si="3"/>
        <v>23.026666666666667</v>
      </c>
      <c r="R27" s="3">
        <f t="shared" si="23"/>
        <v>2933.5634410541152</v>
      </c>
      <c r="W27">
        <f t="shared" si="15"/>
        <v>655.57718914893974</v>
      </c>
      <c r="X27">
        <f t="shared" si="16"/>
        <v>-9.6630392618464516</v>
      </c>
      <c r="Y27">
        <f t="shared" si="17"/>
        <v>9.6630392618464516</v>
      </c>
    </row>
    <row r="28" spans="1:25" x14ac:dyDescent="0.3">
      <c r="A28" s="20"/>
      <c r="B28" s="2">
        <v>240</v>
      </c>
      <c r="C28" s="2">
        <v>271</v>
      </c>
      <c r="D28" s="2">
        <v>44.04</v>
      </c>
      <c r="E28" s="6">
        <f t="shared" si="0"/>
        <v>0.90333333333333332</v>
      </c>
      <c r="F28" s="9">
        <f t="shared" si="19"/>
        <v>3.7737789203084833</v>
      </c>
      <c r="G28" s="6">
        <f t="shared" si="24"/>
        <v>11.622060918787168</v>
      </c>
      <c r="H28" s="6">
        <v>0.88</v>
      </c>
      <c r="I28" s="6">
        <f t="shared" si="20"/>
        <v>0.24425162187210381</v>
      </c>
      <c r="J28" s="6">
        <f t="shared" si="1"/>
        <v>0.26389784102604835</v>
      </c>
      <c r="K28" s="6">
        <f t="shared" si="25"/>
        <v>20.322434150772025</v>
      </c>
      <c r="L28" s="6">
        <f t="shared" si="21"/>
        <v>86.798470734849914</v>
      </c>
      <c r="M28" s="6">
        <f t="shared" si="26"/>
        <v>36.617880894652444</v>
      </c>
      <c r="N28" s="6">
        <f t="shared" si="27"/>
        <v>56.369865849227978</v>
      </c>
      <c r="O28" s="6">
        <f t="shared" si="22"/>
        <v>0.33078328450783384</v>
      </c>
      <c r="P28" s="3">
        <f t="shared" si="11"/>
        <v>4.2370020741306291</v>
      </c>
      <c r="Q28" s="3">
        <f t="shared" si="3"/>
        <v>25.12</v>
      </c>
      <c r="R28" s="3">
        <f t="shared" si="23"/>
        <v>2931.6719117589391</v>
      </c>
      <c r="W28">
        <f t="shared" si="15"/>
        <v>640.24466179146009</v>
      </c>
      <c r="X28">
        <f t="shared" si="16"/>
        <v>-9.4801218811637114</v>
      </c>
      <c r="Y28">
        <f t="shared" si="17"/>
        <v>9.4801218811637114</v>
      </c>
    </row>
    <row r="29" spans="1:25" x14ac:dyDescent="0.3">
      <c r="A29" s="21"/>
      <c r="B29" s="5">
        <v>260</v>
      </c>
      <c r="C29" s="5">
        <v>284</v>
      </c>
      <c r="D29" s="5">
        <v>44.69</v>
      </c>
      <c r="E29" s="5">
        <f t="shared" si="0"/>
        <v>0.94666666666666666</v>
      </c>
      <c r="F29" s="5">
        <f t="shared" si="19"/>
        <v>3.8294772922022275</v>
      </c>
      <c r="G29" s="5">
        <f t="shared" si="24"/>
        <v>11.622060918787168</v>
      </c>
      <c r="H29" s="5">
        <v>0.81</v>
      </c>
      <c r="I29" s="5">
        <f t="shared" si="20"/>
        <v>0.25176845943482229</v>
      </c>
      <c r="J29" s="5">
        <f t="shared" si="1"/>
        <v>0.26005954170479234</v>
      </c>
      <c r="K29" s="5">
        <f t="shared" si="25"/>
        <v>20.026851644663235</v>
      </c>
      <c r="L29" s="5">
        <f t="shared" si="21"/>
        <v>86.990482236804453</v>
      </c>
      <c r="M29" s="5">
        <f t="shared" si="26"/>
        <v>36.809892396606955</v>
      </c>
      <c r="N29" s="5">
        <f t="shared" si="27"/>
        <v>56.665448355336764</v>
      </c>
      <c r="O29" s="5">
        <f t="shared" si="22"/>
        <v>0.34846882622917247</v>
      </c>
      <c r="P29" s="5">
        <f t="shared" si="11"/>
        <v>4.248096177380269</v>
      </c>
      <c r="Q29" s="5">
        <f t="shared" si="3"/>
        <v>27.213333333333331</v>
      </c>
      <c r="R29" s="5">
        <f t="shared" si="23"/>
        <v>2929.6355169670032</v>
      </c>
      <c r="S29" s="5"/>
      <c r="T29" s="5"/>
      <c r="U29" s="5"/>
      <c r="V29" s="5"/>
      <c r="W29" s="5">
        <f t="shared" si="15"/>
        <v>630.93253312364959</v>
      </c>
      <c r="X29" s="5">
        <f t="shared" si="16"/>
        <v>-9.3679408701701998</v>
      </c>
      <c r="Y29" s="5">
        <f t="shared" si="17"/>
        <v>9.3679408701701998</v>
      </c>
    </row>
    <row r="30" spans="1:25" x14ac:dyDescent="0.3">
      <c r="A30" s="19">
        <v>12</v>
      </c>
      <c r="B30" s="2">
        <v>0</v>
      </c>
      <c r="C30" s="2">
        <v>14</v>
      </c>
      <c r="D30" s="4">
        <v>16.010000000000002</v>
      </c>
      <c r="E30" s="6">
        <f t="shared" si="0"/>
        <v>4.6666666666666669E-2</v>
      </c>
      <c r="F30" s="9">
        <f>D30/16.01</f>
        <v>1</v>
      </c>
      <c r="G30" s="6">
        <f>0.913*(300)^0.5</f>
        <v>15.813623873103852</v>
      </c>
      <c r="H30" s="6">
        <v>11.19</v>
      </c>
      <c r="I30" s="6">
        <f t="shared" ref="I30:I43" si="28">E30*(16.01/(D30-H30))</f>
        <v>0.15500691562932223</v>
      </c>
      <c r="J30" s="6">
        <f t="shared" si="1"/>
        <v>0.98773415822010313</v>
      </c>
      <c r="K30" s="6">
        <f t="shared" si="25"/>
        <v>55.902560899437844</v>
      </c>
      <c r="L30" s="6">
        <f t="shared" ref="L30:L43" si="29">(113.01-K30)/(113.1)*100</f>
        <v>50.492872767959476</v>
      </c>
      <c r="M30" s="6">
        <v>0</v>
      </c>
      <c r="N30" s="6">
        <v>0</v>
      </c>
      <c r="O30" s="6">
        <f t="shared" ref="O30:O43" si="30">N30*C30/(113.09*300)</f>
        <v>0</v>
      </c>
      <c r="P30" s="3">
        <f t="shared" si="11"/>
        <v>0</v>
      </c>
      <c r="Q30" s="3">
        <f t="shared" si="3"/>
        <v>0</v>
      </c>
      <c r="R30" s="3">
        <f t="shared" si="23"/>
        <v>2943</v>
      </c>
      <c r="W30">
        <f t="shared" si="15"/>
        <v>2396.3497374996768</v>
      </c>
      <c r="X30">
        <f t="shared" si="16"/>
        <v>0</v>
      </c>
      <c r="Y30">
        <f t="shared" si="17"/>
        <v>0</v>
      </c>
    </row>
    <row r="31" spans="1:25" x14ac:dyDescent="0.3">
      <c r="A31" s="20"/>
      <c r="B31" s="2">
        <v>20</v>
      </c>
      <c r="C31" s="2">
        <v>72</v>
      </c>
      <c r="D31" s="2">
        <v>27.38</v>
      </c>
      <c r="E31" s="6">
        <f t="shared" si="0"/>
        <v>0.24</v>
      </c>
      <c r="F31" s="9">
        <f t="shared" ref="F31:F43" si="31">D31/16.01</f>
        <v>1.7101811367895063</v>
      </c>
      <c r="G31" s="6">
        <f t="shared" ref="G31:G43" si="32">0.913*(300)^0.5</f>
        <v>15.813623873103852</v>
      </c>
      <c r="H31" s="6">
        <v>8.4499999999999993</v>
      </c>
      <c r="I31" s="6">
        <f t="shared" si="28"/>
        <v>0.20297939778129953</v>
      </c>
      <c r="J31" s="6">
        <f t="shared" si="1"/>
        <v>0.5775611348832671</v>
      </c>
      <c r="K31" s="6">
        <f t="shared" si="25"/>
        <v>32.688093498904308</v>
      </c>
      <c r="L31" s="6">
        <f t="shared" si="29"/>
        <v>71.018484970022726</v>
      </c>
      <c r="M31" s="6">
        <f t="shared" ref="M31:M43" si="33">(-K31+55.902)/(113.1)*100</f>
        <v>20.525116269757465</v>
      </c>
      <c r="N31" s="6">
        <f t="shared" ref="N31:N43" si="34">(-K31+55.902)</f>
        <v>23.213906501095693</v>
      </c>
      <c r="O31" s="6">
        <f t="shared" si="30"/>
        <v>4.9264634894888727E-2</v>
      </c>
      <c r="P31" s="3">
        <f t="shared" si="11"/>
        <v>2.7190005247980609</v>
      </c>
      <c r="Q31" s="3">
        <f t="shared" si="3"/>
        <v>2.0933333333333333</v>
      </c>
      <c r="R31" s="3">
        <f t="shared" si="23"/>
        <v>2942.9676037038162</v>
      </c>
      <c r="W31">
        <f t="shared" si="15"/>
        <v>1401.2256865365168</v>
      </c>
      <c r="X31">
        <f t="shared" si="16"/>
        <v>-13.081071437778059</v>
      </c>
      <c r="Y31">
        <f t="shared" si="17"/>
        <v>13.081071437778059</v>
      </c>
    </row>
    <row r="32" spans="1:25" x14ac:dyDescent="0.3">
      <c r="A32" s="20"/>
      <c r="B32" s="2">
        <v>40</v>
      </c>
      <c r="C32" s="2">
        <v>133</v>
      </c>
      <c r="D32" s="2">
        <v>33.869999999999997</v>
      </c>
      <c r="E32" s="6">
        <f t="shared" si="0"/>
        <v>0.44333333333333336</v>
      </c>
      <c r="F32" s="9">
        <f t="shared" si="31"/>
        <v>2.1155527795128042</v>
      </c>
      <c r="G32" s="6">
        <f t="shared" si="32"/>
        <v>15.813623873103852</v>
      </c>
      <c r="H32" s="6">
        <v>5.27</v>
      </c>
      <c r="I32" s="6">
        <f t="shared" si="28"/>
        <v>0.24817365967365973</v>
      </c>
      <c r="J32" s="6">
        <f t="shared" si="1"/>
        <v>0.46689175887522449</v>
      </c>
      <c r="K32" s="6">
        <f t="shared" si="25"/>
        <v>26.424564511366995</v>
      </c>
      <c r="L32" s="6">
        <f t="shared" si="29"/>
        <v>76.556530051841747</v>
      </c>
      <c r="M32" s="6">
        <f t="shared" si="33"/>
        <v>26.063161351576486</v>
      </c>
      <c r="N32" s="6">
        <f t="shared" si="34"/>
        <v>29.477435488633006</v>
      </c>
      <c r="O32" s="6">
        <f t="shared" si="30"/>
        <v>0.1155568992244581</v>
      </c>
      <c r="P32" s="3">
        <f t="shared" si="11"/>
        <v>3.0639383656467127</v>
      </c>
      <c r="Q32" s="3">
        <f t="shared" si="3"/>
        <v>4.1866666666666665</v>
      </c>
      <c r="R32" s="3">
        <f t="shared" si="23"/>
        <v>2942.8354504045615</v>
      </c>
      <c r="W32">
        <f t="shared" si="15"/>
        <v>1132.7298286793573</v>
      </c>
      <c r="X32">
        <f t="shared" si="16"/>
        <v>-11.963117527358714</v>
      </c>
      <c r="Y32">
        <f t="shared" si="17"/>
        <v>11.963117527358714</v>
      </c>
    </row>
    <row r="33" spans="1:25" x14ac:dyDescent="0.3">
      <c r="A33" s="20"/>
      <c r="B33" s="2">
        <v>60</v>
      </c>
      <c r="C33" s="2">
        <v>170</v>
      </c>
      <c r="D33" s="2">
        <v>39.35</v>
      </c>
      <c r="E33" s="6">
        <f t="shared" si="0"/>
        <v>0.56666666666666665</v>
      </c>
      <c r="F33" s="9">
        <f t="shared" si="31"/>
        <v>2.4578388507183009</v>
      </c>
      <c r="G33" s="6">
        <f t="shared" si="32"/>
        <v>15.813623873103852</v>
      </c>
      <c r="H33" s="6">
        <v>3.89</v>
      </c>
      <c r="I33" s="6">
        <f t="shared" si="28"/>
        <v>0.25584696371498405</v>
      </c>
      <c r="J33" s="6">
        <f t="shared" si="1"/>
        <v>0.40187100058713726</v>
      </c>
      <c r="K33" s="6">
        <f t="shared" si="25"/>
        <v>22.744599745870392</v>
      </c>
      <c r="L33" s="6">
        <f t="shared" si="29"/>
        <v>79.810256634951031</v>
      </c>
      <c r="M33" s="6">
        <f t="shared" si="33"/>
        <v>29.316887934685777</v>
      </c>
      <c r="N33" s="6">
        <f t="shared" si="34"/>
        <v>33.157400254129612</v>
      </c>
      <c r="O33" s="6">
        <f t="shared" si="30"/>
        <v>0.16614372161411367</v>
      </c>
      <c r="P33" s="3">
        <f t="shared" si="11"/>
        <v>3.2495663725481001</v>
      </c>
      <c r="Q33" s="3">
        <f t="shared" si="3"/>
        <v>6.28</v>
      </c>
      <c r="R33" s="3">
        <f t="shared" si="23"/>
        <v>2942.5835430528082</v>
      </c>
      <c r="W33">
        <f t="shared" si="15"/>
        <v>974.98244720126627</v>
      </c>
      <c r="X33">
        <f t="shared" si="16"/>
        <v>-10.944342087534318</v>
      </c>
      <c r="Y33">
        <f t="shared" si="17"/>
        <v>10.944342087534318</v>
      </c>
    </row>
    <row r="34" spans="1:25" x14ac:dyDescent="0.3">
      <c r="A34" s="20"/>
      <c r="B34" s="2">
        <v>80</v>
      </c>
      <c r="C34" s="2">
        <v>196</v>
      </c>
      <c r="D34" s="2">
        <v>42.75</v>
      </c>
      <c r="E34" s="6">
        <f t="shared" si="0"/>
        <v>0.65333333333333332</v>
      </c>
      <c r="F34" s="9">
        <f t="shared" si="31"/>
        <v>2.670206121174266</v>
      </c>
      <c r="G34" s="6">
        <f t="shared" si="32"/>
        <v>15.813623873103852</v>
      </c>
      <c r="H34" s="6">
        <v>3.24</v>
      </c>
      <c r="I34" s="6">
        <f t="shared" si="28"/>
        <v>0.2647397283388172</v>
      </c>
      <c r="J34" s="6">
        <f t="shared" si="1"/>
        <v>0.3699093303650024</v>
      </c>
      <c r="K34" s="6">
        <f t="shared" si="25"/>
        <v>20.935672514619885</v>
      </c>
      <c r="L34" s="6">
        <f t="shared" si="29"/>
        <v>81.409661790787027</v>
      </c>
      <c r="M34" s="6">
        <f t="shared" si="33"/>
        <v>30.916293090521769</v>
      </c>
      <c r="N34" s="6">
        <f t="shared" si="34"/>
        <v>34.96632748538012</v>
      </c>
      <c r="O34" s="6">
        <f t="shared" si="30"/>
        <v>0.20200430887300685</v>
      </c>
      <c r="P34" s="3">
        <f t="shared" si="11"/>
        <v>3.3370305789003432</v>
      </c>
      <c r="Q34" s="3">
        <f t="shared" ref="Q34:Q65" si="35">(2*3.14*B34)/60</f>
        <v>8.3733333333333331</v>
      </c>
      <c r="R34" s="3">
        <f t="shared" si="23"/>
        <v>2942.2192407587263</v>
      </c>
      <c r="W34">
        <f t="shared" si="15"/>
        <v>897.43998356420661</v>
      </c>
      <c r="X34">
        <f t="shared" si="16"/>
        <v>-10.355545235034228</v>
      </c>
      <c r="Y34">
        <f t="shared" si="17"/>
        <v>10.355545235034228</v>
      </c>
    </row>
    <row r="35" spans="1:25" x14ac:dyDescent="0.3">
      <c r="A35" s="20"/>
      <c r="B35" s="2">
        <v>100</v>
      </c>
      <c r="C35" s="2">
        <v>208</v>
      </c>
      <c r="D35" s="2">
        <v>45.34</v>
      </c>
      <c r="E35" s="6">
        <f t="shared" si="0"/>
        <v>0.69333333333333336</v>
      </c>
      <c r="F35" s="9">
        <f t="shared" si="31"/>
        <v>2.8319800124921923</v>
      </c>
      <c r="G35" s="6">
        <f t="shared" si="32"/>
        <v>15.813623873103852</v>
      </c>
      <c r="H35" s="6">
        <v>2.5499999999999998</v>
      </c>
      <c r="I35" s="6">
        <f t="shared" si="28"/>
        <v>0.25941263535093873</v>
      </c>
      <c r="J35" s="6">
        <f t="shared" si="1"/>
        <v>0.34877864739973202</v>
      </c>
      <c r="K35" s="6">
        <f t="shared" si="25"/>
        <v>19.739744155271282</v>
      </c>
      <c r="L35" s="6">
        <f t="shared" si="29"/>
        <v>82.467069712403827</v>
      </c>
      <c r="M35" s="6">
        <f t="shared" si="33"/>
        <v>31.973701012138566</v>
      </c>
      <c r="N35" s="6">
        <f t="shared" si="34"/>
        <v>36.162255844728719</v>
      </c>
      <c r="O35" s="6">
        <f t="shared" si="30"/>
        <v>0.22170392948694473</v>
      </c>
      <c r="P35" s="3">
        <f t="shared" si="11"/>
        <v>3.3936178318672106</v>
      </c>
      <c r="Q35" s="3">
        <f t="shared" si="35"/>
        <v>10.466666666666667</v>
      </c>
      <c r="R35" s="3">
        <f t="shared" si="23"/>
        <v>2941.7383390738619</v>
      </c>
      <c r="W35">
        <f t="shared" si="15"/>
        <v>846.17466469717306</v>
      </c>
      <c r="X35">
        <f t="shared" si="16"/>
        <v>-9.936092317442526</v>
      </c>
      <c r="Y35">
        <f t="shared" si="17"/>
        <v>9.936092317442526</v>
      </c>
    </row>
    <row r="36" spans="1:25" x14ac:dyDescent="0.3">
      <c r="A36" s="20"/>
      <c r="B36" s="2">
        <v>120</v>
      </c>
      <c r="C36" s="2">
        <v>228</v>
      </c>
      <c r="D36" s="2">
        <v>46.57</v>
      </c>
      <c r="E36" s="6">
        <f t="shared" si="0"/>
        <v>0.76</v>
      </c>
      <c r="F36" s="9">
        <f t="shared" si="31"/>
        <v>2.9088069956277325</v>
      </c>
      <c r="G36" s="6">
        <f t="shared" si="32"/>
        <v>15.813623873103852</v>
      </c>
      <c r="H36" s="6">
        <v>2.12</v>
      </c>
      <c r="I36" s="6">
        <f t="shared" si="28"/>
        <v>0.27373678290213727</v>
      </c>
      <c r="J36" s="6">
        <f t="shared" si="1"/>
        <v>0.33956675699170824</v>
      </c>
      <c r="K36" s="6">
        <f t="shared" si="25"/>
        <v>19.218380931930426</v>
      </c>
      <c r="L36" s="6">
        <f t="shared" si="29"/>
        <v>82.928045153023504</v>
      </c>
      <c r="M36" s="6">
        <f t="shared" si="33"/>
        <v>32.434676452758247</v>
      </c>
      <c r="N36" s="6">
        <f t="shared" si="34"/>
        <v>36.683619068069575</v>
      </c>
      <c r="O36" s="6">
        <f t="shared" si="30"/>
        <v>0.24652533815308939</v>
      </c>
      <c r="P36" s="3">
        <f t="shared" si="11"/>
        <v>3.4179937436849253</v>
      </c>
      <c r="Q36" s="3">
        <f t="shared" si="35"/>
        <v>12.56</v>
      </c>
      <c r="R36" s="3">
        <f t="shared" si="23"/>
        <v>2941.15701497802</v>
      </c>
      <c r="W36">
        <f t="shared" si="15"/>
        <v>823.82562373566316</v>
      </c>
      <c r="X36">
        <f t="shared" si="16"/>
        <v>-9.7459075685810674</v>
      </c>
      <c r="Y36">
        <f t="shared" si="17"/>
        <v>9.7459075685810674</v>
      </c>
    </row>
    <row r="37" spans="1:25" x14ac:dyDescent="0.3">
      <c r="A37" s="20"/>
      <c r="B37" s="2">
        <v>140</v>
      </c>
      <c r="C37" s="2">
        <v>236</v>
      </c>
      <c r="D37" s="2">
        <v>48.46</v>
      </c>
      <c r="E37" s="6">
        <f t="shared" si="0"/>
        <v>0.78666666666666663</v>
      </c>
      <c r="F37" s="9">
        <f t="shared" si="31"/>
        <v>3.0268582136164897</v>
      </c>
      <c r="G37" s="6">
        <f t="shared" si="32"/>
        <v>15.813623873103852</v>
      </c>
      <c r="H37" s="6">
        <v>1.96</v>
      </c>
      <c r="I37" s="6">
        <f t="shared" si="28"/>
        <v>0.27085017921146959</v>
      </c>
      <c r="J37" s="6">
        <f t="shared" si="1"/>
        <v>0.32632323303969979</v>
      </c>
      <c r="K37" s="6">
        <f t="shared" si="25"/>
        <v>18.468840280643828</v>
      </c>
      <c r="L37" s="6">
        <f t="shared" si="29"/>
        <v>83.590768982631459</v>
      </c>
      <c r="M37" s="6">
        <f t="shared" si="33"/>
        <v>33.097400282366202</v>
      </c>
      <c r="N37" s="6">
        <f t="shared" si="34"/>
        <v>37.433159719356169</v>
      </c>
      <c r="O37" s="6">
        <f t="shared" si="30"/>
        <v>0.26038923847578788</v>
      </c>
      <c r="P37" s="3">
        <f t="shared" si="11"/>
        <v>3.4527363707145136</v>
      </c>
      <c r="Q37" s="3">
        <f t="shared" si="35"/>
        <v>14.653333333333334</v>
      </c>
      <c r="R37" s="3">
        <f t="shared" si="23"/>
        <v>2940.4402373535913</v>
      </c>
      <c r="W37">
        <f t="shared" si="15"/>
        <v>791.69540440300932</v>
      </c>
      <c r="X37">
        <f t="shared" si="16"/>
        <v>-9.4648305569137872</v>
      </c>
      <c r="Y37">
        <f t="shared" si="17"/>
        <v>9.4648305569137872</v>
      </c>
    </row>
    <row r="38" spans="1:25" x14ac:dyDescent="0.3">
      <c r="A38" s="20"/>
      <c r="B38" s="2">
        <v>160</v>
      </c>
      <c r="C38" s="2">
        <v>248</v>
      </c>
      <c r="D38" s="2">
        <v>49.48</v>
      </c>
      <c r="E38" s="6">
        <f t="shared" si="0"/>
        <v>0.82666666666666666</v>
      </c>
      <c r="F38" s="9">
        <f t="shared" si="31"/>
        <v>3.0905683947532787</v>
      </c>
      <c r="G38" s="6">
        <f t="shared" si="32"/>
        <v>15.813623873103852</v>
      </c>
      <c r="H38" s="6">
        <v>1.65</v>
      </c>
      <c r="I38" s="6">
        <f t="shared" si="28"/>
        <v>0.27670778451460037</v>
      </c>
      <c r="J38" s="6">
        <f t="shared" si="1"/>
        <v>0.31959627876119345</v>
      </c>
      <c r="K38" s="6">
        <f t="shared" si="25"/>
        <v>18.088116410670981</v>
      </c>
      <c r="L38" s="6">
        <f t="shared" si="29"/>
        <v>83.92739486235989</v>
      </c>
      <c r="M38" s="6">
        <f t="shared" si="33"/>
        <v>33.434026162094625</v>
      </c>
      <c r="N38" s="6">
        <f t="shared" si="34"/>
        <v>37.813883589329023</v>
      </c>
      <c r="O38" s="6">
        <f t="shared" si="30"/>
        <v>0.27641238925202932</v>
      </c>
      <c r="P38" s="3">
        <f t="shared" si="11"/>
        <v>3.4702504355987873</v>
      </c>
      <c r="Q38" s="3">
        <f t="shared" si="35"/>
        <v>16.746666666666666</v>
      </c>
      <c r="R38" s="3">
        <f t="shared" si="23"/>
        <v>2939.622631979506</v>
      </c>
      <c r="W38">
        <f t="shared" si="15"/>
        <v>775.37508685064324</v>
      </c>
      <c r="X38">
        <f t="shared" si="16"/>
        <v>-9.3186402065230212</v>
      </c>
      <c r="Y38">
        <f t="shared" si="17"/>
        <v>9.3186402065230212</v>
      </c>
    </row>
    <row r="39" spans="1:25" x14ac:dyDescent="0.3">
      <c r="A39" s="20"/>
      <c r="B39" s="2">
        <v>180</v>
      </c>
      <c r="C39" s="2">
        <v>256</v>
      </c>
      <c r="D39" s="2">
        <v>50.09</v>
      </c>
      <c r="E39" s="6">
        <f t="shared" si="0"/>
        <v>0.85333333333333339</v>
      </c>
      <c r="F39" s="9">
        <f t="shared" si="31"/>
        <v>3.1286695815115553</v>
      </c>
      <c r="G39" s="6">
        <f t="shared" si="32"/>
        <v>15.813623873103852</v>
      </c>
      <c r="H39" s="6">
        <v>1.56</v>
      </c>
      <c r="I39" s="6">
        <f t="shared" si="28"/>
        <v>0.28151384023628001</v>
      </c>
      <c r="J39" s="6">
        <f t="shared" si="1"/>
        <v>0.31570420988428533</v>
      </c>
      <c r="K39" s="6">
        <f t="shared" si="25"/>
        <v>17.867837891794768</v>
      </c>
      <c r="L39" s="6">
        <f t="shared" si="29"/>
        <v>84.12215924686582</v>
      </c>
      <c r="M39" s="6">
        <f t="shared" si="33"/>
        <v>33.62879054660057</v>
      </c>
      <c r="N39" s="6">
        <f t="shared" si="34"/>
        <v>38.034162108205237</v>
      </c>
      <c r="O39" s="6">
        <f t="shared" si="30"/>
        <v>0.28699105431368943</v>
      </c>
      <c r="P39" s="3">
        <f t="shared" si="11"/>
        <v>3.4803434428688411</v>
      </c>
      <c r="Q39" s="3">
        <f t="shared" si="35"/>
        <v>18.84</v>
      </c>
      <c r="R39" s="3">
        <f t="shared" si="23"/>
        <v>2938.7006183152885</v>
      </c>
      <c r="W39">
        <f t="shared" si="15"/>
        <v>765.93250743401541</v>
      </c>
      <c r="X39">
        <f t="shared" si="16"/>
        <v>-9.2330154199034933</v>
      </c>
      <c r="Y39">
        <f t="shared" si="17"/>
        <v>9.2330154199034933</v>
      </c>
    </row>
    <row r="40" spans="1:25" x14ac:dyDescent="0.3">
      <c r="A40" s="20"/>
      <c r="B40" s="2">
        <v>200</v>
      </c>
      <c r="C40" s="2">
        <v>266</v>
      </c>
      <c r="D40" s="2">
        <v>50.61</v>
      </c>
      <c r="E40" s="6">
        <f t="shared" si="0"/>
        <v>0.88666666666666671</v>
      </c>
      <c r="F40" s="9">
        <f t="shared" si="31"/>
        <v>3.1611492816989379</v>
      </c>
      <c r="G40" s="6">
        <f t="shared" si="32"/>
        <v>15.813623873103852</v>
      </c>
      <c r="H40" s="6">
        <v>1.3</v>
      </c>
      <c r="I40" s="6">
        <f t="shared" si="28"/>
        <v>0.28788345839248297</v>
      </c>
      <c r="J40" s="6">
        <f t="shared" si="1"/>
        <v>0.31246045985188409</v>
      </c>
      <c r="K40" s="6">
        <f t="shared" si="25"/>
        <v>17.68425212408615</v>
      </c>
      <c r="L40" s="6">
        <f t="shared" si="29"/>
        <v>84.284480880560452</v>
      </c>
      <c r="M40" s="6">
        <f t="shared" si="33"/>
        <v>33.791112180295187</v>
      </c>
      <c r="N40" s="6">
        <f t="shared" si="34"/>
        <v>38.217747875913851</v>
      </c>
      <c r="O40" s="6">
        <f t="shared" si="30"/>
        <v>0.29964102145763211</v>
      </c>
      <c r="P40" s="3">
        <f t="shared" si="11"/>
        <v>3.4887329054146412</v>
      </c>
      <c r="Q40" s="3">
        <f t="shared" si="35"/>
        <v>20.933333333333334</v>
      </c>
      <c r="R40" s="3">
        <f t="shared" si="23"/>
        <v>2937.6665009630947</v>
      </c>
      <c r="W40">
        <f t="shared" si="15"/>
        <v>758.06281954890005</v>
      </c>
      <c r="X40">
        <f t="shared" si="16"/>
        <v>-9.1610729086626304</v>
      </c>
      <c r="Y40">
        <f t="shared" si="17"/>
        <v>9.1610729086626304</v>
      </c>
    </row>
    <row r="41" spans="1:25" x14ac:dyDescent="0.3">
      <c r="A41" s="20"/>
      <c r="B41" s="2">
        <v>220</v>
      </c>
      <c r="C41" s="2">
        <v>269</v>
      </c>
      <c r="D41" s="2">
        <v>50.8</v>
      </c>
      <c r="E41" s="6">
        <f t="shared" si="0"/>
        <v>0.89666666666666661</v>
      </c>
      <c r="F41" s="9">
        <f t="shared" si="31"/>
        <v>3.1730168644597123</v>
      </c>
      <c r="G41" s="6">
        <f t="shared" si="32"/>
        <v>15.813623873103852</v>
      </c>
      <c r="H41" s="6">
        <v>1.0900000000000001</v>
      </c>
      <c r="I41" s="6">
        <f t="shared" si="28"/>
        <v>0.2887876349493731</v>
      </c>
      <c r="J41" s="6">
        <f t="shared" si="1"/>
        <v>0.3112918085256664</v>
      </c>
      <c r="K41" s="6">
        <f t="shared" si="25"/>
        <v>17.618110236220474</v>
      </c>
      <c r="L41" s="6">
        <f t="shared" si="29"/>
        <v>84.342961771688366</v>
      </c>
      <c r="M41" s="6">
        <f t="shared" si="33"/>
        <v>33.849593071423101</v>
      </c>
      <c r="N41" s="6">
        <f t="shared" si="34"/>
        <v>38.283889763779527</v>
      </c>
      <c r="O41" s="6">
        <f t="shared" si="30"/>
        <v>0.30354485649944563</v>
      </c>
      <c r="P41" s="3">
        <f t="shared" si="11"/>
        <v>3.4917505038048615</v>
      </c>
      <c r="Q41" s="3">
        <f t="shared" si="35"/>
        <v>23.026666666666667</v>
      </c>
      <c r="R41" s="3">
        <f t="shared" si="23"/>
        <v>2936.5352972991777</v>
      </c>
      <c r="W41">
        <f t="shared" si="15"/>
        <v>755.22754522381558</v>
      </c>
      <c r="X41">
        <f t="shared" si="16"/>
        <v>-9.1350246740572487</v>
      </c>
      <c r="Y41">
        <f t="shared" si="17"/>
        <v>9.1350246740572487</v>
      </c>
    </row>
    <row r="42" spans="1:25" x14ac:dyDescent="0.3">
      <c r="A42" s="20"/>
      <c r="B42" s="2">
        <v>240</v>
      </c>
      <c r="C42" s="2">
        <v>275</v>
      </c>
      <c r="D42" s="2">
        <v>51.29</v>
      </c>
      <c r="E42" s="6">
        <f t="shared" si="0"/>
        <v>0.91666666666666663</v>
      </c>
      <c r="F42" s="9">
        <f t="shared" si="31"/>
        <v>3.2036227357901308</v>
      </c>
      <c r="G42" s="6">
        <f t="shared" si="32"/>
        <v>15.813623873103852</v>
      </c>
      <c r="H42" s="6">
        <v>0.93</v>
      </c>
      <c r="I42" s="6">
        <f t="shared" si="28"/>
        <v>0.29141845379931164</v>
      </c>
      <c r="J42" s="6">
        <f t="shared" si="1"/>
        <v>0.30831787625470564</v>
      </c>
      <c r="K42" s="6">
        <f t="shared" si="25"/>
        <v>17.449795281731333</v>
      </c>
      <c r="L42" s="6">
        <f t="shared" si="29"/>
        <v>84.491781360096084</v>
      </c>
      <c r="M42" s="6">
        <f t="shared" si="33"/>
        <v>33.998412659830826</v>
      </c>
      <c r="N42" s="6">
        <f t="shared" si="34"/>
        <v>38.452204718268668</v>
      </c>
      <c r="O42" s="6">
        <f t="shared" si="30"/>
        <v>0.3116796739329703</v>
      </c>
      <c r="P42" s="3">
        <f t="shared" si="11"/>
        <v>3.4994178186538849</v>
      </c>
      <c r="Q42" s="3">
        <f t="shared" si="35"/>
        <v>25.12</v>
      </c>
      <c r="R42" s="3">
        <f t="shared" si="23"/>
        <v>2935.2726449398169</v>
      </c>
      <c r="W42">
        <f t="shared" si="15"/>
        <v>748.01246436673489</v>
      </c>
      <c r="X42">
        <f t="shared" si="16"/>
        <v>-9.0684310779008026</v>
      </c>
      <c r="Y42">
        <f t="shared" si="17"/>
        <v>9.0684310779008026</v>
      </c>
    </row>
    <row r="43" spans="1:25" x14ac:dyDescent="0.3">
      <c r="A43" s="21"/>
      <c r="B43" s="5">
        <v>260</v>
      </c>
      <c r="C43" s="5">
        <v>287</v>
      </c>
      <c r="D43" s="5">
        <v>52.61</v>
      </c>
      <c r="E43" s="5">
        <f t="shared" si="0"/>
        <v>0.95666666666666667</v>
      </c>
      <c r="F43" s="5">
        <f t="shared" si="31"/>
        <v>3.2860712054965644</v>
      </c>
      <c r="G43" s="5">
        <f t="shared" si="32"/>
        <v>15.813623873103852</v>
      </c>
      <c r="H43" s="5">
        <v>0.87</v>
      </c>
      <c r="I43" s="5">
        <f t="shared" si="28"/>
        <v>0.29602306403813938</v>
      </c>
      <c r="J43" s="5">
        <f t="shared" si="1"/>
        <v>0.30058209224679439</v>
      </c>
      <c r="K43" s="5">
        <f t="shared" si="25"/>
        <v>17.011974909712983</v>
      </c>
      <c r="L43" s="5">
        <f t="shared" si="29"/>
        <v>84.878890442340435</v>
      </c>
      <c r="M43" s="5">
        <f t="shared" si="33"/>
        <v>34.38552174207517</v>
      </c>
      <c r="N43" s="5">
        <f t="shared" si="34"/>
        <v>38.890025090287018</v>
      </c>
      <c r="O43" s="5">
        <f t="shared" si="30"/>
        <v>0.32898391254494574</v>
      </c>
      <c r="P43" s="5">
        <f t="shared" si="11"/>
        <v>3.5192837778457995</v>
      </c>
      <c r="Q43" s="5">
        <f t="shared" si="35"/>
        <v>27.213333333333331</v>
      </c>
      <c r="R43" s="5">
        <f t="shared" si="23"/>
        <v>2933.8278307935948</v>
      </c>
      <c r="S43" s="5"/>
      <c r="T43" s="5"/>
      <c r="U43" s="5"/>
      <c r="V43" s="5"/>
      <c r="W43" s="5">
        <f t="shared" si="15"/>
        <v>729.24461694297338</v>
      </c>
      <c r="X43" s="5">
        <f t="shared" si="16"/>
        <v>-8.8931513222410761</v>
      </c>
      <c r="Y43" s="5">
        <f t="shared" si="17"/>
        <v>8.8931513222410761</v>
      </c>
    </row>
    <row r="44" spans="1:25" x14ac:dyDescent="0.3">
      <c r="A44" s="19">
        <v>10</v>
      </c>
      <c r="B44" s="2">
        <v>0</v>
      </c>
      <c r="C44" s="2">
        <v>13</v>
      </c>
      <c r="D44" s="4">
        <v>23.4</v>
      </c>
      <c r="E44" s="6">
        <f t="shared" si="0"/>
        <v>4.3333333333333335E-2</v>
      </c>
      <c r="F44" s="9">
        <f>D44/23.4</f>
        <v>1</v>
      </c>
      <c r="G44" s="6">
        <f>1.315*(300)^0.5</f>
        <v>22.776468119530737</v>
      </c>
      <c r="H44" s="6">
        <v>16.690000000000001</v>
      </c>
      <c r="I44" s="6">
        <f t="shared" ref="I44:I57" si="36">E44*(23.4/(D44-H44))</f>
        <v>0.15111773472429216</v>
      </c>
      <c r="J44" s="6">
        <f t="shared" si="1"/>
        <v>0.97335333844148453</v>
      </c>
      <c r="K44" s="6">
        <f t="shared" si="25"/>
        <v>38.247863247863251</v>
      </c>
      <c r="L44" s="6">
        <f t="shared" ref="L44:L57" si="37">(78.54-K44)/(78.54)*100</f>
        <v>51.301421889657185</v>
      </c>
      <c r="M44" s="6">
        <v>0</v>
      </c>
      <c r="N44" s="6">
        <v>0</v>
      </c>
      <c r="O44" s="6">
        <f t="shared" ref="O44:O57" si="38">N44*C44/(78.53*300)</f>
        <v>0</v>
      </c>
      <c r="P44" s="3">
        <f t="shared" si="11"/>
        <v>0</v>
      </c>
      <c r="Q44" s="3">
        <f t="shared" si="35"/>
        <v>0</v>
      </c>
      <c r="R44" s="3">
        <f t="shared" si="23"/>
        <v>2943</v>
      </c>
      <c r="W44">
        <f t="shared" si="15"/>
        <v>2361.4603156702015</v>
      </c>
      <c r="X44">
        <f t="shared" si="16"/>
        <v>0</v>
      </c>
      <c r="Y44">
        <f t="shared" si="17"/>
        <v>0</v>
      </c>
    </row>
    <row r="45" spans="1:25" x14ac:dyDescent="0.3">
      <c r="A45" s="20"/>
      <c r="B45" s="2">
        <v>20</v>
      </c>
      <c r="C45" s="2">
        <v>92</v>
      </c>
      <c r="D45" s="2">
        <v>34.19</v>
      </c>
      <c r="E45" s="6">
        <f t="shared" si="0"/>
        <v>0.30666666666666664</v>
      </c>
      <c r="F45" s="9">
        <f t="shared" ref="F45:F57" si="39">D45/23.4</f>
        <v>1.461111111111111</v>
      </c>
      <c r="G45" s="6">
        <f t="shared" ref="G45:G57" si="40">1.315*(300)^0.5</f>
        <v>22.776468119530737</v>
      </c>
      <c r="H45" s="6">
        <v>9.8000000000000007</v>
      </c>
      <c r="I45" s="6">
        <f t="shared" si="36"/>
        <v>0.29421894218942191</v>
      </c>
      <c r="J45" s="6">
        <f t="shared" si="1"/>
        <v>0.66617338752649136</v>
      </c>
      <c r="K45" s="6">
        <f t="shared" si="25"/>
        <v>26.177244808423517</v>
      </c>
      <c r="L45" s="6">
        <f t="shared" si="37"/>
        <v>66.670174677331914</v>
      </c>
      <c r="M45" s="6">
        <f t="shared" ref="M45:M57" si="41">(-K45+38.247)/(78.54)*100</f>
        <v>15.367653668928549</v>
      </c>
      <c r="N45" s="6">
        <f t="shared" ref="N45:N57" si="42">(-K45+38.24)</f>
        <v>12.062755191576485</v>
      </c>
      <c r="O45" s="6">
        <f t="shared" si="38"/>
        <v>4.7106136831997825E-2</v>
      </c>
      <c r="P45" s="3">
        <f t="shared" si="11"/>
        <v>1.9600106583273578</v>
      </c>
      <c r="Q45" s="3">
        <f t="shared" si="35"/>
        <v>2.0933333333333333</v>
      </c>
      <c r="R45" s="3">
        <f t="shared" si="23"/>
        <v>2942.9831657549771</v>
      </c>
      <c r="W45">
        <f t="shared" si="15"/>
        <v>1616.2085810670583</v>
      </c>
      <c r="X45">
        <f t="shared" si="16"/>
        <v>-10.78405136366187</v>
      </c>
      <c r="Y45">
        <f t="shared" si="17"/>
        <v>10.78405136366187</v>
      </c>
    </row>
    <row r="46" spans="1:25" x14ac:dyDescent="0.3">
      <c r="A46" s="20"/>
      <c r="B46" s="2">
        <v>40</v>
      </c>
      <c r="C46" s="2">
        <v>152</v>
      </c>
      <c r="D46" s="2">
        <v>42.59</v>
      </c>
      <c r="E46" s="6">
        <f t="shared" si="0"/>
        <v>0.50666666666666671</v>
      </c>
      <c r="F46" s="9">
        <f t="shared" si="39"/>
        <v>1.8200854700854703</v>
      </c>
      <c r="G46" s="6">
        <f t="shared" si="40"/>
        <v>22.776468119530737</v>
      </c>
      <c r="H46" s="6">
        <v>6.33</v>
      </c>
      <c r="I46" s="6">
        <f t="shared" si="36"/>
        <v>0.32697186982901266</v>
      </c>
      <c r="J46" s="6">
        <f t="shared" si="1"/>
        <v>0.53478441229233942</v>
      </c>
      <c r="K46" s="6">
        <f t="shared" si="25"/>
        <v>21.014322610941534</v>
      </c>
      <c r="L46" s="6">
        <f t="shared" si="37"/>
        <v>73.243796013570744</v>
      </c>
      <c r="M46" s="6">
        <f t="shared" si="41"/>
        <v>21.941275005167384</v>
      </c>
      <c r="N46" s="6">
        <f t="shared" si="42"/>
        <v>17.225677389058468</v>
      </c>
      <c r="O46" s="6">
        <f t="shared" si="38"/>
        <v>0.11113811974773494</v>
      </c>
      <c r="P46" s="3">
        <f t="shared" si="11"/>
        <v>2.3421965158390168</v>
      </c>
      <c r="Q46" s="3">
        <f t="shared" si="35"/>
        <v>4.1866666666666665</v>
      </c>
      <c r="R46" s="3">
        <f t="shared" si="23"/>
        <v>2942.9038424408864</v>
      </c>
      <c r="W46">
        <f t="shared" si="15"/>
        <v>1297.4447378887701</v>
      </c>
      <c r="X46">
        <f t="shared" si="16"/>
        <v>-10.389386499816636</v>
      </c>
      <c r="Y46">
        <f t="shared" si="17"/>
        <v>10.389386499816636</v>
      </c>
    </row>
    <row r="47" spans="1:25" x14ac:dyDescent="0.3">
      <c r="A47" s="20"/>
      <c r="B47" s="2">
        <v>60</v>
      </c>
      <c r="C47" s="2">
        <v>188</v>
      </c>
      <c r="D47" s="2">
        <v>48.24</v>
      </c>
      <c r="E47" s="6">
        <f t="shared" si="0"/>
        <v>0.62666666666666671</v>
      </c>
      <c r="F47" s="9">
        <f t="shared" si="39"/>
        <v>2.0615384615384618</v>
      </c>
      <c r="G47" s="6">
        <f t="shared" si="40"/>
        <v>22.776468119530737</v>
      </c>
      <c r="H47" s="6">
        <v>4.8</v>
      </c>
      <c r="I47" s="6">
        <f t="shared" si="36"/>
        <v>0.33756906077348064</v>
      </c>
      <c r="J47" s="6">
        <f t="shared" si="1"/>
        <v>0.47214900745295885</v>
      </c>
      <c r="K47" s="6">
        <f t="shared" si="25"/>
        <v>18.553067993366501</v>
      </c>
      <c r="L47" s="6">
        <f t="shared" si="37"/>
        <v>76.377555394236694</v>
      </c>
      <c r="M47" s="6">
        <f t="shared" si="41"/>
        <v>25.075034385833327</v>
      </c>
      <c r="N47" s="6">
        <f t="shared" si="42"/>
        <v>19.686932006633501</v>
      </c>
      <c r="O47" s="6">
        <f t="shared" si="38"/>
        <v>0.15710103218502899</v>
      </c>
      <c r="P47" s="3">
        <f t="shared" si="11"/>
        <v>2.5039416065458795</v>
      </c>
      <c r="Q47" s="3">
        <f t="shared" si="35"/>
        <v>6.28</v>
      </c>
      <c r="R47" s="3">
        <f t="shared" si="23"/>
        <v>2942.7527321339967</v>
      </c>
      <c r="W47">
        <f t="shared" si="15"/>
        <v>1145.4844814818141</v>
      </c>
      <c r="X47">
        <f t="shared" si="16"/>
        <v>-9.8238491673847861</v>
      </c>
      <c r="Y47">
        <f t="shared" si="17"/>
        <v>9.8238491673847861</v>
      </c>
    </row>
    <row r="48" spans="1:25" x14ac:dyDescent="0.3">
      <c r="A48" s="20"/>
      <c r="B48" s="2">
        <v>80</v>
      </c>
      <c r="C48" s="2">
        <v>204</v>
      </c>
      <c r="D48" s="2">
        <v>50.36</v>
      </c>
      <c r="E48" s="6">
        <f t="shared" si="0"/>
        <v>0.68</v>
      </c>
      <c r="F48" s="9">
        <f t="shared" si="39"/>
        <v>2.152136752136752</v>
      </c>
      <c r="G48" s="6">
        <f t="shared" si="40"/>
        <v>22.776468119530737</v>
      </c>
      <c r="H48" s="6">
        <v>3.86</v>
      </c>
      <c r="I48" s="6">
        <f t="shared" si="36"/>
        <v>0.34219354838709676</v>
      </c>
      <c r="J48" s="6">
        <f t="shared" si="1"/>
        <v>0.45227299681355715</v>
      </c>
      <c r="K48" s="6">
        <f t="shared" si="25"/>
        <v>17.77204130262113</v>
      </c>
      <c r="L48" s="6">
        <f t="shared" si="37"/>
        <v>77.37198713697336</v>
      </c>
      <c r="M48" s="6">
        <f t="shared" si="41"/>
        <v>26.069466128569989</v>
      </c>
      <c r="N48" s="6">
        <f t="shared" si="42"/>
        <v>20.467958697378872</v>
      </c>
      <c r="O48" s="6">
        <f t="shared" si="38"/>
        <v>0.177234329736631</v>
      </c>
      <c r="P48" s="3">
        <f t="shared" si="11"/>
        <v>2.5531271382127882</v>
      </c>
      <c r="Q48" s="3">
        <f t="shared" si="35"/>
        <v>8.3733333333333331</v>
      </c>
      <c r="R48" s="3">
        <f t="shared" si="23"/>
        <v>2942.5429732244643</v>
      </c>
      <c r="W48">
        <f t="shared" si="15"/>
        <v>1097.2631331747959</v>
      </c>
      <c r="X48">
        <f t="shared" si="16"/>
        <v>-9.6004755604217298</v>
      </c>
      <c r="Y48">
        <f t="shared" si="17"/>
        <v>9.6004755604217298</v>
      </c>
    </row>
    <row r="49" spans="1:25" x14ac:dyDescent="0.3">
      <c r="A49" s="20"/>
      <c r="B49" s="2">
        <v>100</v>
      </c>
      <c r="C49" s="2">
        <v>223</v>
      </c>
      <c r="D49" s="2">
        <v>53.36</v>
      </c>
      <c r="E49" s="6">
        <f t="shared" si="0"/>
        <v>0.74333333333333329</v>
      </c>
      <c r="F49" s="9">
        <f t="shared" si="39"/>
        <v>2.2803418803418802</v>
      </c>
      <c r="G49" s="6">
        <f t="shared" si="40"/>
        <v>22.776468119530737</v>
      </c>
      <c r="H49" s="6">
        <v>3.11</v>
      </c>
      <c r="I49" s="6">
        <f t="shared" si="36"/>
        <v>0.34614925373134325</v>
      </c>
      <c r="J49" s="6">
        <f t="shared" si="1"/>
        <v>0.42684535456391937</v>
      </c>
      <c r="K49" s="6">
        <f t="shared" si="25"/>
        <v>16.772863568215893</v>
      </c>
      <c r="L49" s="6">
        <f t="shared" si="37"/>
        <v>78.644176765704231</v>
      </c>
      <c r="M49" s="6">
        <f t="shared" si="41"/>
        <v>27.34165575730087</v>
      </c>
      <c r="N49" s="6">
        <f t="shared" si="42"/>
        <v>21.467136431784109</v>
      </c>
      <c r="O49" s="6">
        <f t="shared" si="38"/>
        <v>0.20319926245969083</v>
      </c>
      <c r="P49" s="3">
        <f t="shared" si="11"/>
        <v>2.6147022112344707</v>
      </c>
      <c r="Q49" s="3">
        <f t="shared" si="35"/>
        <v>10.466666666666667</v>
      </c>
      <c r="R49" s="3">
        <f t="shared" si="23"/>
        <v>2942.2510354622686</v>
      </c>
      <c r="W49">
        <f t="shared" si="15"/>
        <v>1035.5729270367826</v>
      </c>
      <c r="X49">
        <f t="shared" si="16"/>
        <v>-9.2857073149078815</v>
      </c>
      <c r="Y49">
        <f t="shared" si="17"/>
        <v>9.2857073149078815</v>
      </c>
    </row>
    <row r="50" spans="1:25" x14ac:dyDescent="0.3">
      <c r="A50" s="20"/>
      <c r="B50" s="2">
        <v>120</v>
      </c>
      <c r="C50" s="2">
        <v>239</v>
      </c>
      <c r="D50" s="2">
        <v>56.18</v>
      </c>
      <c r="E50" s="6">
        <f t="shared" si="0"/>
        <v>0.79666666666666663</v>
      </c>
      <c r="F50" s="9">
        <f t="shared" si="39"/>
        <v>2.4008547008547012</v>
      </c>
      <c r="G50" s="6">
        <f t="shared" si="40"/>
        <v>22.776468119530737</v>
      </c>
      <c r="H50" s="6">
        <v>2.7</v>
      </c>
      <c r="I50" s="6">
        <f t="shared" si="36"/>
        <v>0.34857890800299174</v>
      </c>
      <c r="J50" s="6">
        <f t="shared" si="1"/>
        <v>0.4054195108496037</v>
      </c>
      <c r="K50" s="6">
        <f t="shared" si="25"/>
        <v>15.930936276254895</v>
      </c>
      <c r="L50" s="6">
        <f t="shared" si="37"/>
        <v>79.716149380882484</v>
      </c>
      <c r="M50" s="6">
        <f t="shared" si="41"/>
        <v>28.413628372479121</v>
      </c>
      <c r="N50" s="6">
        <f t="shared" si="42"/>
        <v>22.309063723745105</v>
      </c>
      <c r="O50" s="6">
        <f t="shared" si="38"/>
        <v>0.22631971772889684</v>
      </c>
      <c r="P50" s="3">
        <f t="shared" si="11"/>
        <v>2.6654825762420646</v>
      </c>
      <c r="Q50" s="3">
        <f t="shared" si="35"/>
        <v>12.56</v>
      </c>
      <c r="R50" s="3">
        <f t="shared" si="23"/>
        <v>2941.8791926385193</v>
      </c>
      <c r="W50">
        <f t="shared" si="15"/>
        <v>983.59151631688701</v>
      </c>
      <c r="X50">
        <f t="shared" si="16"/>
        <v>-8.996066580378077</v>
      </c>
      <c r="Y50">
        <f t="shared" si="17"/>
        <v>8.996066580378077</v>
      </c>
    </row>
    <row r="51" spans="1:25" x14ac:dyDescent="0.3">
      <c r="A51" s="20"/>
      <c r="B51" s="2">
        <v>140</v>
      </c>
      <c r="C51" s="2">
        <v>248</v>
      </c>
      <c r="D51" s="2">
        <v>56.7</v>
      </c>
      <c r="E51" s="6">
        <f t="shared" si="0"/>
        <v>0.82666666666666666</v>
      </c>
      <c r="F51" s="9">
        <f t="shared" si="39"/>
        <v>2.4230769230769234</v>
      </c>
      <c r="G51" s="6">
        <f t="shared" si="40"/>
        <v>22.776468119530737</v>
      </c>
      <c r="H51" s="6">
        <v>2.4</v>
      </c>
      <c r="I51" s="6">
        <f t="shared" si="36"/>
        <v>0.35624309392265191</v>
      </c>
      <c r="J51" s="6">
        <f t="shared" si="1"/>
        <v>0.40170137776950149</v>
      </c>
      <c r="K51" s="6">
        <f t="shared" si="25"/>
        <v>15.784832451499117</v>
      </c>
      <c r="L51" s="6">
        <f t="shared" si="37"/>
        <v>79.902174113191862</v>
      </c>
      <c r="M51" s="6">
        <f t="shared" si="41"/>
        <v>28.599653104788491</v>
      </c>
      <c r="N51" s="6">
        <f t="shared" si="42"/>
        <v>22.455167548500885</v>
      </c>
      <c r="O51" s="6">
        <f t="shared" si="38"/>
        <v>0.23638021783726898</v>
      </c>
      <c r="P51" s="3">
        <f t="shared" si="11"/>
        <v>2.6741965606038582</v>
      </c>
      <c r="Q51" s="3">
        <f t="shared" si="35"/>
        <v>14.653333333333334</v>
      </c>
      <c r="R51" s="3">
        <f t="shared" si="23"/>
        <v>2941.4644657426611</v>
      </c>
      <c r="W51">
        <f t="shared" si="15"/>
        <v>974.57092392738468</v>
      </c>
      <c r="X51">
        <f t="shared" si="16"/>
        <v>-8.9435873305139886</v>
      </c>
      <c r="Y51">
        <f t="shared" si="17"/>
        <v>8.9435873305139886</v>
      </c>
    </row>
    <row r="52" spans="1:25" x14ac:dyDescent="0.3">
      <c r="A52" s="20"/>
      <c r="B52" s="2">
        <v>160</v>
      </c>
      <c r="C52" s="2">
        <v>258</v>
      </c>
      <c r="D52" s="2">
        <v>58.01</v>
      </c>
      <c r="E52" s="6">
        <f t="shared" si="0"/>
        <v>0.86</v>
      </c>
      <c r="F52" s="9">
        <f t="shared" si="39"/>
        <v>2.4790598290598291</v>
      </c>
      <c r="G52" s="6">
        <f t="shared" si="40"/>
        <v>22.776468119530737</v>
      </c>
      <c r="H52" s="6">
        <v>1.9</v>
      </c>
      <c r="I52" s="6">
        <f t="shared" si="36"/>
        <v>0.35865264658706114</v>
      </c>
      <c r="J52" s="6">
        <f t="shared" si="1"/>
        <v>0.3926300313658117</v>
      </c>
      <c r="K52" s="6">
        <f t="shared" si="25"/>
        <v>15.428374418203758</v>
      </c>
      <c r="L52" s="6">
        <f t="shared" si="37"/>
        <v>80.356029515910677</v>
      </c>
      <c r="M52" s="6">
        <f t="shared" si="41"/>
        <v>29.05350850750731</v>
      </c>
      <c r="N52" s="6">
        <f t="shared" si="42"/>
        <v>22.811625581796243</v>
      </c>
      <c r="O52" s="6">
        <f t="shared" si="38"/>
        <v>0.24981533172475193</v>
      </c>
      <c r="P52" s="3">
        <f t="shared" si="11"/>
        <v>2.6953383667732846</v>
      </c>
      <c r="Q52" s="3">
        <f t="shared" si="35"/>
        <v>16.746666666666666</v>
      </c>
      <c r="R52" s="3">
        <f t="shared" si="23"/>
        <v>2940.962566988037</v>
      </c>
      <c r="W52">
        <f t="shared" si="15"/>
        <v>952.56285789834021</v>
      </c>
      <c r="X52">
        <f t="shared" si="16"/>
        <v>-8.8128451178372771</v>
      </c>
      <c r="Y52">
        <f t="shared" si="17"/>
        <v>8.8128451178372771</v>
      </c>
    </row>
    <row r="53" spans="1:25" x14ac:dyDescent="0.3">
      <c r="A53" s="20"/>
      <c r="B53" s="2">
        <v>180</v>
      </c>
      <c r="C53" s="2">
        <v>263</v>
      </c>
      <c r="D53" s="2">
        <v>58.61</v>
      </c>
      <c r="E53" s="6">
        <f t="shared" si="0"/>
        <v>0.87666666666666671</v>
      </c>
      <c r="F53" s="9">
        <f t="shared" si="39"/>
        <v>2.5047008547008547</v>
      </c>
      <c r="G53" s="6">
        <f t="shared" si="40"/>
        <v>22.776468119530737</v>
      </c>
      <c r="H53" s="6">
        <v>1.7</v>
      </c>
      <c r="I53" s="6">
        <f t="shared" si="36"/>
        <v>0.36046389035318926</v>
      </c>
      <c r="J53" s="6">
        <f t="shared" si="1"/>
        <v>0.38861061456288581</v>
      </c>
      <c r="K53" s="6">
        <f t="shared" si="25"/>
        <v>15.270431666951032</v>
      </c>
      <c r="L53" s="6">
        <f t="shared" si="37"/>
        <v>80.557128002354176</v>
      </c>
      <c r="M53" s="6">
        <f t="shared" si="41"/>
        <v>29.254606993950809</v>
      </c>
      <c r="N53" s="6">
        <f t="shared" si="42"/>
        <v>22.969568333048969</v>
      </c>
      <c r="O53" s="6">
        <f t="shared" si="38"/>
        <v>0.25641990201586989</v>
      </c>
      <c r="P53" s="3">
        <f t="shared" si="11"/>
        <v>2.7046532403715893</v>
      </c>
      <c r="Q53" s="3">
        <f t="shared" si="35"/>
        <v>18.84</v>
      </c>
      <c r="R53" s="3">
        <f t="shared" si="23"/>
        <v>2940.403519995632</v>
      </c>
      <c r="W53">
        <f t="shared" si="15"/>
        <v>942.8113186603432</v>
      </c>
      <c r="X53">
        <f t="shared" si="16"/>
        <v>-8.7536972948029401</v>
      </c>
      <c r="Y53">
        <f t="shared" si="17"/>
        <v>8.7536972948029401</v>
      </c>
    </row>
    <row r="54" spans="1:25" x14ac:dyDescent="0.3">
      <c r="A54" s="20"/>
      <c r="B54" s="2">
        <v>200</v>
      </c>
      <c r="C54" s="2">
        <v>273</v>
      </c>
      <c r="D54" s="2">
        <v>59.12</v>
      </c>
      <c r="E54" s="6">
        <f t="shared" si="0"/>
        <v>0.91</v>
      </c>
      <c r="F54" s="9">
        <f t="shared" si="39"/>
        <v>2.5264957264957264</v>
      </c>
      <c r="G54" s="6">
        <f t="shared" si="40"/>
        <v>22.776468119530737</v>
      </c>
      <c r="H54" s="6">
        <v>1.55</v>
      </c>
      <c r="I54" s="6">
        <f t="shared" si="36"/>
        <v>0.36988014590932777</v>
      </c>
      <c r="J54" s="6">
        <f t="shared" si="1"/>
        <v>0.38525825641966743</v>
      </c>
      <c r="K54" s="6">
        <f t="shared" si="25"/>
        <v>15.138700947225981</v>
      </c>
      <c r="L54" s="6">
        <f t="shared" si="37"/>
        <v>80.724852371751993</v>
      </c>
      <c r="M54" s="6">
        <f t="shared" si="41"/>
        <v>29.422331363348636</v>
      </c>
      <c r="N54" s="6">
        <f t="shared" si="42"/>
        <v>23.101299052774021</v>
      </c>
      <c r="O54" s="6">
        <f t="shared" si="38"/>
        <v>0.26769619429548397</v>
      </c>
      <c r="P54" s="3">
        <f>SQRT(N54/3.14)</f>
        <v>2.7123977601310063</v>
      </c>
      <c r="Q54" s="3">
        <f>(2*3.14*B54)/60</f>
        <v>20.933333333333334</v>
      </c>
      <c r="R54" s="3">
        <f>1000*(9.81*0.3-(Q54*P54*10^-3)^2)</f>
        <v>2939.7760853766354</v>
      </c>
      <c r="W54">
        <f t="shared" si="15"/>
        <v>934.67813576932883</v>
      </c>
      <c r="X54">
        <f t="shared" si="16"/>
        <v>-8.7037982048382379</v>
      </c>
      <c r="Y54">
        <f t="shared" si="17"/>
        <v>8.7037982048382379</v>
      </c>
    </row>
    <row r="55" spans="1:25" x14ac:dyDescent="0.3">
      <c r="A55" s="20"/>
      <c r="B55" s="2">
        <v>220</v>
      </c>
      <c r="C55" s="2">
        <v>276</v>
      </c>
      <c r="D55" s="2">
        <v>60.43</v>
      </c>
      <c r="E55" s="6">
        <f t="shared" si="0"/>
        <v>0.92</v>
      </c>
      <c r="F55" s="9">
        <f t="shared" si="39"/>
        <v>2.5824786324786326</v>
      </c>
      <c r="G55" s="6">
        <f t="shared" si="40"/>
        <v>22.776468119530737</v>
      </c>
      <c r="H55" s="6">
        <v>1.3</v>
      </c>
      <c r="I55" s="6">
        <f t="shared" si="36"/>
        <v>0.36407914764079147</v>
      </c>
      <c r="J55" s="6">
        <f t="shared" si="1"/>
        <v>0.37690663775493527</v>
      </c>
      <c r="K55" s="6">
        <f t="shared" si="25"/>
        <v>14.810524573887141</v>
      </c>
      <c r="L55" s="6">
        <f t="shared" si="37"/>
        <v>81.142698530828696</v>
      </c>
      <c r="M55" s="6">
        <f t="shared" si="41"/>
        <v>29.840177522425332</v>
      </c>
      <c r="N55" s="6">
        <f t="shared" si="42"/>
        <v>23.429475426112859</v>
      </c>
      <c r="O55" s="6">
        <f t="shared" si="38"/>
        <v>0.27448258489779487</v>
      </c>
      <c r="P55" s="3">
        <f t="shared" si="11"/>
        <v>2.7315959396922063</v>
      </c>
      <c r="Q55" s="3">
        <f t="shared" si="35"/>
        <v>23.026666666666667</v>
      </c>
      <c r="R55" s="3">
        <f t="shared" si="23"/>
        <v>2939.0436467140457</v>
      </c>
      <c r="W55">
        <f t="shared" si="15"/>
        <v>914.416206961488</v>
      </c>
      <c r="X55">
        <f t="shared" si="16"/>
        <v>-8.577258219061326</v>
      </c>
      <c r="Y55">
        <f t="shared" si="17"/>
        <v>8.577258219061326</v>
      </c>
    </row>
    <row r="56" spans="1:25" x14ac:dyDescent="0.3">
      <c r="A56" s="20"/>
      <c r="B56" s="2">
        <v>240</v>
      </c>
      <c r="C56" s="2">
        <v>285</v>
      </c>
      <c r="D56" s="2">
        <v>60.8</v>
      </c>
      <c r="E56" s="6">
        <f t="shared" si="0"/>
        <v>0.95</v>
      </c>
      <c r="F56" s="9">
        <f t="shared" si="39"/>
        <v>2.5982905982905984</v>
      </c>
      <c r="G56" s="6">
        <f t="shared" si="40"/>
        <v>22.776468119530737</v>
      </c>
      <c r="H56" s="6">
        <v>1.18</v>
      </c>
      <c r="I56" s="6">
        <f t="shared" si="36"/>
        <v>0.37286145588728609</v>
      </c>
      <c r="J56" s="6">
        <f t="shared" si="1"/>
        <v>0.37461296249228188</v>
      </c>
      <c r="K56" s="6">
        <f t="shared" si="25"/>
        <v>14.720394736842106</v>
      </c>
      <c r="L56" s="6">
        <f t="shared" si="37"/>
        <v>81.257455135164108</v>
      </c>
      <c r="M56" s="6">
        <f t="shared" si="41"/>
        <v>29.954934126760747</v>
      </c>
      <c r="N56" s="6">
        <f t="shared" si="42"/>
        <v>23.519605263157896</v>
      </c>
      <c r="O56" s="6">
        <f t="shared" si="38"/>
        <v>0.28452343053610085</v>
      </c>
      <c r="P56" s="3">
        <f t="shared" si="11"/>
        <v>2.7368449257315466</v>
      </c>
      <c r="Q56" s="3">
        <f t="shared" si="35"/>
        <v>25.12</v>
      </c>
      <c r="R56" s="3">
        <f t="shared" si="23"/>
        <v>2938.2735001263159</v>
      </c>
      <c r="W56">
        <f t="shared" si="15"/>
        <v>908.85150307043943</v>
      </c>
      <c r="X56">
        <f t="shared" si="16"/>
        <v>-8.5419524570378069</v>
      </c>
      <c r="Y56">
        <f t="shared" si="17"/>
        <v>8.5419524570378069</v>
      </c>
    </row>
    <row r="57" spans="1:25" x14ac:dyDescent="0.3">
      <c r="A57" s="21"/>
      <c r="B57" s="5">
        <v>260</v>
      </c>
      <c r="C57" s="5">
        <v>292</v>
      </c>
      <c r="D57" s="5">
        <v>61.32</v>
      </c>
      <c r="E57" s="5">
        <f t="shared" si="0"/>
        <v>0.97333333333333338</v>
      </c>
      <c r="F57" s="5">
        <f t="shared" si="39"/>
        <v>2.6205128205128205</v>
      </c>
      <c r="G57" s="5">
        <f t="shared" si="40"/>
        <v>22.776468119530737</v>
      </c>
      <c r="H57" s="5">
        <v>1.1499999999999999</v>
      </c>
      <c r="I57" s="5">
        <f t="shared" si="36"/>
        <v>0.37852750540136276</v>
      </c>
      <c r="J57" s="5">
        <f t="shared" si="1"/>
        <v>0.37143620547179934</v>
      </c>
      <c r="K57" s="5">
        <f t="shared" si="25"/>
        <v>14.5955642530985</v>
      </c>
      <c r="L57" s="5">
        <f t="shared" si="37"/>
        <v>81.41639387178698</v>
      </c>
      <c r="M57" s="5">
        <f t="shared" si="41"/>
        <v>30.113872863383623</v>
      </c>
      <c r="N57" s="5">
        <f t="shared" si="42"/>
        <v>23.6444357469015</v>
      </c>
      <c r="O57" s="5">
        <f t="shared" si="38"/>
        <v>0.293058926019578</v>
      </c>
      <c r="P57" s="5">
        <f t="shared" si="11"/>
        <v>2.7440982268554182</v>
      </c>
      <c r="Q57" s="5">
        <f t="shared" si="35"/>
        <v>27.213333333333331</v>
      </c>
      <c r="R57" s="5">
        <f t="shared" si="23"/>
        <v>2937.4234861006885</v>
      </c>
      <c r="S57" s="5"/>
      <c r="T57" s="5"/>
      <c r="U57" s="5"/>
      <c r="V57" s="5"/>
      <c r="W57" s="5">
        <f t="shared" si="15"/>
        <v>901.14434746710231</v>
      </c>
      <c r="X57" s="5">
        <f t="shared" si="16"/>
        <v>-8.4926625607593849</v>
      </c>
      <c r="Y57" s="5">
        <f t="shared" si="17"/>
        <v>8.4926625607593849</v>
      </c>
    </row>
    <row r="58" spans="1:25" x14ac:dyDescent="0.3">
      <c r="A58" s="19">
        <v>8</v>
      </c>
      <c r="B58" s="2">
        <v>0</v>
      </c>
      <c r="C58" s="2">
        <v>8</v>
      </c>
      <c r="D58" s="4">
        <v>35.94</v>
      </c>
      <c r="E58" s="6">
        <f t="shared" si="0"/>
        <v>2.6666666666666668E-2</v>
      </c>
      <c r="F58" s="9">
        <f>D58/35.94</f>
        <v>1</v>
      </c>
      <c r="G58" s="6">
        <f>2.056*(300)^0.5</f>
        <v>35.610964603616118</v>
      </c>
      <c r="H58" s="6">
        <v>28.76</v>
      </c>
      <c r="I58" s="6">
        <f t="shared" ref="I58:I71" si="43">E58*(35.94/(D58-H58))</f>
        <v>0.13348189415041792</v>
      </c>
      <c r="J58" s="6">
        <f t="shared" si="1"/>
        <v>0.99084486932710403</v>
      </c>
      <c r="K58" s="6">
        <f t="shared" si="25"/>
        <v>24.902615470228159</v>
      </c>
      <c r="L58" s="6">
        <f t="shared" ref="L58:L71" si="44">(50.26-K58)/(50.26)*100</f>
        <v>50.452416493776042</v>
      </c>
      <c r="M58" s="6">
        <v>0</v>
      </c>
      <c r="N58" s="6">
        <v>0</v>
      </c>
      <c r="O58" s="6">
        <f t="shared" ref="O58:O71" si="45">N58*C58/(50.265*300)</f>
        <v>0</v>
      </c>
      <c r="P58" s="3">
        <f t="shared" si="11"/>
        <v>0</v>
      </c>
      <c r="Q58" s="3">
        <f t="shared" si="35"/>
        <v>0</v>
      </c>
      <c r="R58" s="3">
        <f t="shared" si="23"/>
        <v>2943</v>
      </c>
      <c r="W58">
        <f t="shared" si="15"/>
        <v>2403.8966585843255</v>
      </c>
      <c r="X58">
        <f t="shared" si="16"/>
        <v>0</v>
      </c>
      <c r="Y58">
        <f t="shared" si="17"/>
        <v>0</v>
      </c>
    </row>
    <row r="59" spans="1:25" x14ac:dyDescent="0.3">
      <c r="A59" s="20"/>
      <c r="B59" s="2">
        <v>20</v>
      </c>
      <c r="C59" s="2">
        <v>124</v>
      </c>
      <c r="D59" s="2">
        <v>49.79</v>
      </c>
      <c r="E59" s="6">
        <f t="shared" si="0"/>
        <v>0.41333333333333333</v>
      </c>
      <c r="F59" s="9">
        <f t="shared" ref="F59:F71" si="46">D59/35.94</f>
        <v>1.3853644963828604</v>
      </c>
      <c r="G59" s="6">
        <f t="shared" ref="G59:G71" si="47">2.056*(300)^0.5</f>
        <v>35.610964603616118</v>
      </c>
      <c r="H59" s="6">
        <v>13.63</v>
      </c>
      <c r="I59" s="6">
        <f t="shared" si="43"/>
        <v>0.41081858407079647</v>
      </c>
      <c r="J59" s="6">
        <f t="shared" si="1"/>
        <v>0.71522322963679696</v>
      </c>
      <c r="K59" s="6">
        <f t="shared" si="25"/>
        <v>17.975497087768627</v>
      </c>
      <c r="L59" s="6">
        <f t="shared" si="44"/>
        <v>64.234983908140421</v>
      </c>
      <c r="M59" s="6">
        <f t="shared" ref="M59:M71" si="48">(-K59+24.902)/(50.26)*100</f>
        <v>13.781342841685982</v>
      </c>
      <c r="N59" s="6">
        <f t="shared" ref="N59:N71" si="49">(-K59+24.902)</f>
        <v>6.9265029122313742</v>
      </c>
      <c r="O59" s="6">
        <f t="shared" si="45"/>
        <v>5.6957217488424049E-2</v>
      </c>
      <c r="P59" s="3">
        <f t="shared" si="11"/>
        <v>1.4852247800274019</v>
      </c>
      <c r="Q59" s="3">
        <f t="shared" si="35"/>
        <v>2.0933333333333333</v>
      </c>
      <c r="R59" s="3">
        <f t="shared" si="23"/>
        <v>2942.99033368038</v>
      </c>
      <c r="W59">
        <f t="shared" si="15"/>
        <v>1735.2087951299591</v>
      </c>
      <c r="X59">
        <f t="shared" si="16"/>
        <v>-8.7277330778658495</v>
      </c>
      <c r="Y59">
        <f t="shared" si="17"/>
        <v>8.7277330778658495</v>
      </c>
    </row>
    <row r="60" spans="1:25" x14ac:dyDescent="0.3">
      <c r="A60" s="20"/>
      <c r="B60" s="2">
        <v>40</v>
      </c>
      <c r="C60" s="2">
        <v>182</v>
      </c>
      <c r="D60" s="2">
        <v>60.47</v>
      </c>
      <c r="E60" s="6">
        <f t="shared" si="0"/>
        <v>0.60666666666666669</v>
      </c>
      <c r="F60" s="9">
        <f t="shared" si="46"/>
        <v>1.6825264329437952</v>
      </c>
      <c r="G60" s="6">
        <f t="shared" si="47"/>
        <v>35.610964603616118</v>
      </c>
      <c r="H60" s="6">
        <v>8.5</v>
      </c>
      <c r="I60" s="6">
        <f t="shared" si="43"/>
        <v>0.41954204348662688</v>
      </c>
      <c r="J60" s="6">
        <f t="shared" si="1"/>
        <v>0.58890300320185407</v>
      </c>
      <c r="K60" s="6">
        <f t="shared" si="25"/>
        <v>14.800727633537292</v>
      </c>
      <c r="L60" s="6">
        <f t="shared" si="44"/>
        <v>70.551676017633724</v>
      </c>
      <c r="M60" s="6">
        <f t="shared" si="48"/>
        <v>20.098034951179287</v>
      </c>
      <c r="N60" s="6">
        <f t="shared" si="49"/>
        <v>10.101272366462709</v>
      </c>
      <c r="O60" s="6">
        <f t="shared" si="45"/>
        <v>0.121915950177142</v>
      </c>
      <c r="P60" s="3">
        <f t="shared" si="11"/>
        <v>1.7935901766578146</v>
      </c>
      <c r="Q60" s="3">
        <f t="shared" si="35"/>
        <v>4.1866666666666665</v>
      </c>
      <c r="R60" s="3">
        <f t="shared" si="23"/>
        <v>2942.9436124529229</v>
      </c>
      <c r="W60">
        <f t="shared" si="15"/>
        <v>1428.7422839345238</v>
      </c>
      <c r="X60">
        <f t="shared" si="16"/>
        <v>-8.7077127038060169</v>
      </c>
      <c r="Y60">
        <f t="shared" si="17"/>
        <v>8.7077127038060169</v>
      </c>
    </row>
    <row r="61" spans="1:25" x14ac:dyDescent="0.3">
      <c r="A61" s="20"/>
      <c r="B61" s="2">
        <v>60</v>
      </c>
      <c r="C61" s="2">
        <v>212</v>
      </c>
      <c r="D61" s="2">
        <v>66.52</v>
      </c>
      <c r="E61" s="6">
        <f t="shared" si="0"/>
        <v>0.70666666666666667</v>
      </c>
      <c r="F61" s="9">
        <f t="shared" si="46"/>
        <v>1.850862548692265</v>
      </c>
      <c r="G61" s="6">
        <f t="shared" si="47"/>
        <v>35.610964603616118</v>
      </c>
      <c r="H61" s="6">
        <v>6.34</v>
      </c>
      <c r="I61" s="6">
        <f t="shared" si="43"/>
        <v>0.42202725157859755</v>
      </c>
      <c r="J61" s="6">
        <f t="shared" si="1"/>
        <v>0.53534222194251535</v>
      </c>
      <c r="K61" s="6">
        <f t="shared" si="25"/>
        <v>13.454600120264583</v>
      </c>
      <c r="L61" s="6">
        <f t="shared" si="44"/>
        <v>73.230003740022724</v>
      </c>
      <c r="M61" s="6">
        <f t="shared" si="48"/>
        <v>22.776362673568283</v>
      </c>
      <c r="N61" s="6">
        <f t="shared" si="49"/>
        <v>11.447399879735418</v>
      </c>
      <c r="O61" s="6">
        <f t="shared" si="45"/>
        <v>0.16093695245226358</v>
      </c>
      <c r="P61" s="3">
        <f t="shared" si="11"/>
        <v>1.9093634414401295</v>
      </c>
      <c r="Q61" s="3">
        <f t="shared" si="35"/>
        <v>6.28</v>
      </c>
      <c r="R61" s="3">
        <f t="shared" si="23"/>
        <v>2942.8562206575102</v>
      </c>
      <c r="W61">
        <f t="shared" si="15"/>
        <v>1298.7980443403587</v>
      </c>
      <c r="X61">
        <f t="shared" si="16"/>
        <v>-8.4374784963753591</v>
      </c>
      <c r="Y61">
        <f t="shared" si="17"/>
        <v>8.4374784963753591</v>
      </c>
    </row>
    <row r="62" spans="1:25" x14ac:dyDescent="0.3">
      <c r="A62" s="20"/>
      <c r="B62" s="2">
        <v>80</v>
      </c>
      <c r="C62" s="2">
        <v>230</v>
      </c>
      <c r="D62" s="2">
        <v>69.23</v>
      </c>
      <c r="E62" s="6">
        <f t="shared" si="0"/>
        <v>0.76666666666666672</v>
      </c>
      <c r="F62" s="9">
        <f t="shared" si="46"/>
        <v>1.9262659988870341</v>
      </c>
      <c r="G62" s="6">
        <f t="shared" si="47"/>
        <v>35.610964603616118</v>
      </c>
      <c r="H62" s="6">
        <v>4.9800000000000004</v>
      </c>
      <c r="I62" s="6">
        <f t="shared" si="43"/>
        <v>0.42885603112840465</v>
      </c>
      <c r="J62" s="6">
        <f t="shared" si="1"/>
        <v>0.51438631523351319</v>
      </c>
      <c r="K62" s="6">
        <f t="shared" si="25"/>
        <v>12.927921421349126</v>
      </c>
      <c r="L62" s="6">
        <f t="shared" si="44"/>
        <v>74.277912014824651</v>
      </c>
      <c r="M62" s="6">
        <f t="shared" si="48"/>
        <v>23.824270948370227</v>
      </c>
      <c r="N62" s="6">
        <f t="shared" si="49"/>
        <v>11.974078578650875</v>
      </c>
      <c r="O62" s="6">
        <f t="shared" si="45"/>
        <v>0.18263457495869898</v>
      </c>
      <c r="P62" s="3">
        <f t="shared" si="11"/>
        <v>1.9527930820305548</v>
      </c>
      <c r="Q62" s="3">
        <f t="shared" si="35"/>
        <v>8.3733333333333331</v>
      </c>
      <c r="R62" s="3">
        <f t="shared" si="23"/>
        <v>2942.7326321298706</v>
      </c>
      <c r="W62">
        <f t="shared" si="15"/>
        <v>1247.9567515458712</v>
      </c>
      <c r="X62">
        <f t="shared" si="16"/>
        <v>-8.2955869966205409</v>
      </c>
      <c r="Y62">
        <f t="shared" si="17"/>
        <v>8.2955869966205409</v>
      </c>
    </row>
    <row r="63" spans="1:25" x14ac:dyDescent="0.3">
      <c r="A63" s="20"/>
      <c r="B63" s="2">
        <v>100</v>
      </c>
      <c r="C63" s="2">
        <v>243</v>
      </c>
      <c r="D63" s="2">
        <v>72.349999999999994</v>
      </c>
      <c r="E63" s="6">
        <f t="shared" si="0"/>
        <v>0.81</v>
      </c>
      <c r="F63" s="9">
        <f t="shared" si="46"/>
        <v>2.0130773511407902</v>
      </c>
      <c r="G63" s="6">
        <f t="shared" si="47"/>
        <v>35.610964603616118</v>
      </c>
      <c r="H63" s="6">
        <v>4.2</v>
      </c>
      <c r="I63" s="6">
        <f t="shared" si="43"/>
        <v>0.42716654438738083</v>
      </c>
      <c r="J63" s="6">
        <f t="shared" si="1"/>
        <v>0.49220407192282128</v>
      </c>
      <c r="K63" s="6">
        <f t="shared" si="25"/>
        <v>12.370421561852108</v>
      </c>
      <c r="L63" s="6">
        <f t="shared" si="44"/>
        <v>75.387143728905485</v>
      </c>
      <c r="M63" s="6">
        <f t="shared" si="48"/>
        <v>24.933502662451041</v>
      </c>
      <c r="N63" s="6">
        <f t="shared" si="49"/>
        <v>12.531578438147893</v>
      </c>
      <c r="O63" s="6">
        <f t="shared" si="45"/>
        <v>0.20194128190390517</v>
      </c>
      <c r="P63" s="3">
        <f t="shared" si="11"/>
        <v>1.9977358552073037</v>
      </c>
      <c r="Q63" s="3">
        <f t="shared" si="35"/>
        <v>10.466666666666667</v>
      </c>
      <c r="R63" s="3">
        <f t="shared" si="23"/>
        <v>2942.5627871522693</v>
      </c>
      <c r="W63">
        <f t="shared" si="15"/>
        <v>1194.1402337183229</v>
      </c>
      <c r="X63">
        <f t="shared" si="16"/>
        <v>-8.1245862204947361</v>
      </c>
      <c r="Y63">
        <f t="shared" si="17"/>
        <v>8.1245862204947361</v>
      </c>
    </row>
    <row r="64" spans="1:25" x14ac:dyDescent="0.3">
      <c r="A64" s="20"/>
      <c r="B64" s="2">
        <v>120</v>
      </c>
      <c r="C64" s="2">
        <v>255</v>
      </c>
      <c r="D64" s="2">
        <v>73.790000000000006</v>
      </c>
      <c r="E64" s="6">
        <f t="shared" si="0"/>
        <v>0.85</v>
      </c>
      <c r="F64" s="9">
        <f t="shared" si="46"/>
        <v>2.0531441291040626</v>
      </c>
      <c r="G64" s="6">
        <f t="shared" si="47"/>
        <v>35.610964603616118</v>
      </c>
      <c r="H64" s="6">
        <v>3.57</v>
      </c>
      <c r="I64" s="6">
        <f t="shared" si="43"/>
        <v>0.43504699515807443</v>
      </c>
      <c r="J64" s="6">
        <f t="shared" si="1"/>
        <v>0.48259878850272553</v>
      </c>
      <c r="K64" s="6">
        <f t="shared" si="25"/>
        <v>12.129014771649274</v>
      </c>
      <c r="L64" s="6">
        <f t="shared" si="44"/>
        <v>75.867459666435991</v>
      </c>
      <c r="M64" s="6">
        <f t="shared" si="48"/>
        <v>25.413818599981553</v>
      </c>
      <c r="N64" s="6">
        <f t="shared" si="49"/>
        <v>12.772985228350727</v>
      </c>
      <c r="O64" s="6">
        <f t="shared" si="45"/>
        <v>0.215995970239692</v>
      </c>
      <c r="P64" s="3">
        <f t="shared" si="11"/>
        <v>2.016886137231737</v>
      </c>
      <c r="Q64" s="3">
        <f t="shared" si="35"/>
        <v>12.56</v>
      </c>
      <c r="R64" s="3">
        <f t="shared" si="23"/>
        <v>2942.3582852221275</v>
      </c>
      <c r="W64">
        <f t="shared" si="15"/>
        <v>1170.836778825324</v>
      </c>
      <c r="X64">
        <f t="shared" si="16"/>
        <v>-8.0441088655331203</v>
      </c>
      <c r="Y64">
        <f t="shared" si="17"/>
        <v>8.0441088655331203</v>
      </c>
    </row>
    <row r="65" spans="1:25" x14ac:dyDescent="0.3">
      <c r="A65" s="20"/>
      <c r="B65" s="2">
        <v>140</v>
      </c>
      <c r="C65" s="2">
        <v>262</v>
      </c>
      <c r="D65" s="2">
        <v>75.41</v>
      </c>
      <c r="E65" s="6">
        <f t="shared" si="0"/>
        <v>0.87333333333333329</v>
      </c>
      <c r="F65" s="9">
        <f t="shared" si="46"/>
        <v>2.0982192543127436</v>
      </c>
      <c r="G65" s="6">
        <f t="shared" si="47"/>
        <v>35.610964603616118</v>
      </c>
      <c r="H65" s="6">
        <v>2.99</v>
      </c>
      <c r="I65" s="6">
        <f t="shared" si="43"/>
        <v>0.4334106600386633</v>
      </c>
      <c r="J65" s="6">
        <f t="shared" si="1"/>
        <v>0.47223133011027874</v>
      </c>
      <c r="K65" s="6">
        <f t="shared" si="25"/>
        <v>11.868452459885956</v>
      </c>
      <c r="L65" s="6">
        <f t="shared" si="44"/>
        <v>76.385888460234867</v>
      </c>
      <c r="M65" s="6">
        <f t="shared" si="48"/>
        <v>25.932247393780433</v>
      </c>
      <c r="N65" s="6">
        <f t="shared" si="49"/>
        <v>13.033547540114045</v>
      </c>
      <c r="O65" s="6">
        <f t="shared" si="45"/>
        <v>0.22645243247520672</v>
      </c>
      <c r="P65" s="3">
        <f t="shared" si="11"/>
        <v>2.037353999310787</v>
      </c>
      <c r="Q65" s="3">
        <f t="shared" si="35"/>
        <v>14.653333333333334</v>
      </c>
      <c r="R65" s="3">
        <f t="shared" si="23"/>
        <v>2942.108737055768</v>
      </c>
      <c r="W65">
        <f t="shared" si="15"/>
        <v>1145.6842051388498</v>
      </c>
      <c r="X65">
        <f t="shared" si="16"/>
        <v>-7.9529890993845198</v>
      </c>
      <c r="Y65">
        <f t="shared" si="17"/>
        <v>7.9529890993845198</v>
      </c>
    </row>
    <row r="66" spans="1:25" x14ac:dyDescent="0.3">
      <c r="A66" s="20"/>
      <c r="B66" s="2">
        <v>160</v>
      </c>
      <c r="C66" s="2">
        <v>271</v>
      </c>
      <c r="D66" s="2">
        <v>76.099999999999994</v>
      </c>
      <c r="E66" s="6">
        <f t="shared" ref="E66:E85" si="50">C66/300</f>
        <v>0.90333333333333332</v>
      </c>
      <c r="F66" s="9">
        <f t="shared" si="46"/>
        <v>2.1174179187534778</v>
      </c>
      <c r="G66" s="6">
        <f t="shared" si="47"/>
        <v>35.610964603616118</v>
      </c>
      <c r="H66" s="6">
        <v>2.64</v>
      </c>
      <c r="I66" s="6">
        <f t="shared" si="43"/>
        <v>0.44195208276613124</v>
      </c>
      <c r="J66" s="6">
        <f t="shared" ref="J66:J85" si="51">G66/D66</f>
        <v>0.46794960057314217</v>
      </c>
      <c r="K66" s="6">
        <f t="shared" si="25"/>
        <v>11.760840998685941</v>
      </c>
      <c r="L66" s="6">
        <f t="shared" si="44"/>
        <v>76.599998012960711</v>
      </c>
      <c r="M66" s="6">
        <f t="shared" si="48"/>
        <v>26.146356946506287</v>
      </c>
      <c r="N66" s="6">
        <f t="shared" si="49"/>
        <v>13.14115900131406</v>
      </c>
      <c r="O66" s="6">
        <f t="shared" si="45"/>
        <v>0.23616526339441696</v>
      </c>
      <c r="P66" s="3">
        <f t="shared" si="11"/>
        <v>2.045747414637233</v>
      </c>
      <c r="Q66" s="3">
        <f t="shared" ref="Q66:Q85" si="52">(2*3.14*B66)/60</f>
        <v>16.746666666666666</v>
      </c>
      <c r="R66" s="3">
        <f t="shared" si="23"/>
        <v>2941.8262900831537</v>
      </c>
      <c r="W66">
        <f t="shared" si="15"/>
        <v>1135.296266879378</v>
      </c>
      <c r="X66">
        <f t="shared" si="16"/>
        <v>-7.9140849095429404</v>
      </c>
      <c r="Y66">
        <f t="shared" si="17"/>
        <v>7.9140849095429404</v>
      </c>
    </row>
    <row r="67" spans="1:25" x14ac:dyDescent="0.3">
      <c r="A67" s="20"/>
      <c r="B67" s="2">
        <v>180</v>
      </c>
      <c r="C67" s="2">
        <v>275</v>
      </c>
      <c r="D67" s="2">
        <v>76.819999999999993</v>
      </c>
      <c r="E67" s="6">
        <f t="shared" si="50"/>
        <v>0.91666666666666663</v>
      </c>
      <c r="F67" s="9">
        <f t="shared" si="46"/>
        <v>2.1374513077351138</v>
      </c>
      <c r="G67" s="6">
        <f t="shared" si="47"/>
        <v>35.610964603616118</v>
      </c>
      <c r="H67" s="6">
        <v>2.33</v>
      </c>
      <c r="I67" s="6">
        <f t="shared" si="43"/>
        <v>0.44227413075580613</v>
      </c>
      <c r="J67" s="6">
        <f t="shared" si="51"/>
        <v>0.46356371522541162</v>
      </c>
      <c r="K67" s="6">
        <f t="shared" si="25"/>
        <v>11.650611819838584</v>
      </c>
      <c r="L67" s="6">
        <f t="shared" si="44"/>
        <v>76.819315917551563</v>
      </c>
      <c r="M67" s="6">
        <f t="shared" si="48"/>
        <v>26.365674851097133</v>
      </c>
      <c r="N67" s="6">
        <f t="shared" si="49"/>
        <v>13.251388180161417</v>
      </c>
      <c r="O67" s="6">
        <f t="shared" si="45"/>
        <v>0.2416613116843655</v>
      </c>
      <c r="P67" s="3">
        <f t="shared" ref="P67:P85" si="53">SQRT(N67/3.14)</f>
        <v>2.0543094505265618</v>
      </c>
      <c r="Q67" s="3">
        <f t="shared" si="52"/>
        <v>18.84</v>
      </c>
      <c r="R67" s="3">
        <f t="shared" si="23"/>
        <v>2941.5020630801146</v>
      </c>
      <c r="W67">
        <f t="shared" ref="W67:W85" si="54">J67*SQRT(2*9810*300)</f>
        <v>1124.6556353751714</v>
      </c>
      <c r="X67">
        <f t="shared" ref="X67:X85" si="55">(W67/300)*(P67*(96-P67)/((2*P67)-96))</f>
        <v>-7.8734714538943251</v>
      </c>
      <c r="Y67">
        <f t="shared" ref="Y67:Y85" si="56">ABS(X67)</f>
        <v>7.8734714538943251</v>
      </c>
    </row>
    <row r="68" spans="1:25" x14ac:dyDescent="0.3">
      <c r="A68" s="20"/>
      <c r="B68" s="2">
        <v>200</v>
      </c>
      <c r="C68" s="2">
        <v>284</v>
      </c>
      <c r="D68" s="2">
        <v>77.97</v>
      </c>
      <c r="E68" s="6">
        <f t="shared" si="50"/>
        <v>0.94666666666666666</v>
      </c>
      <c r="F68" s="9">
        <f t="shared" si="46"/>
        <v>2.169449081803005</v>
      </c>
      <c r="G68" s="6">
        <f t="shared" si="47"/>
        <v>35.610964603616118</v>
      </c>
      <c r="H68" s="6">
        <v>2.19</v>
      </c>
      <c r="I68" s="6">
        <f t="shared" si="43"/>
        <v>0.44897334389020849</v>
      </c>
      <c r="J68" s="6">
        <f t="shared" si="51"/>
        <v>0.4567264922869837</v>
      </c>
      <c r="K68" s="6">
        <f t="shared" si="25"/>
        <v>11.478773887392586</v>
      </c>
      <c r="L68" s="6">
        <f t="shared" si="44"/>
        <v>77.161213912867922</v>
      </c>
      <c r="M68" s="6">
        <f t="shared" si="48"/>
        <v>26.707572846413481</v>
      </c>
      <c r="N68" s="6">
        <f t="shared" si="49"/>
        <v>13.423226112607415</v>
      </c>
      <c r="O68" s="6">
        <f t="shared" si="45"/>
        <v>0.25280653973808853</v>
      </c>
      <c r="P68" s="3">
        <f t="shared" si="53"/>
        <v>2.0675862194152237</v>
      </c>
      <c r="Q68" s="3">
        <f t="shared" si="52"/>
        <v>20.933333333333334</v>
      </c>
      <c r="R68" s="3">
        <f t="shared" si="23"/>
        <v>2941.1267142225074</v>
      </c>
      <c r="W68">
        <f t="shared" si="54"/>
        <v>1108.0677941454489</v>
      </c>
      <c r="X68">
        <f t="shared" si="55"/>
        <v>-7.8086314379731858</v>
      </c>
      <c r="Y68">
        <f t="shared" si="56"/>
        <v>7.8086314379731858</v>
      </c>
    </row>
    <row r="69" spans="1:25" x14ac:dyDescent="0.3">
      <c r="A69" s="20"/>
      <c r="B69" s="2">
        <v>220</v>
      </c>
      <c r="C69" s="2">
        <v>285</v>
      </c>
      <c r="D69" s="2">
        <v>79</v>
      </c>
      <c r="E69" s="6">
        <f t="shared" si="50"/>
        <v>0.95</v>
      </c>
      <c r="F69" s="9">
        <f t="shared" si="46"/>
        <v>2.1981079577072902</v>
      </c>
      <c r="G69" s="6">
        <f t="shared" si="47"/>
        <v>35.610964603616118</v>
      </c>
      <c r="H69" s="6">
        <v>1.84</v>
      </c>
      <c r="I69" s="6">
        <f t="shared" si="43"/>
        <v>0.44249611197511662</v>
      </c>
      <c r="J69" s="6">
        <f t="shared" si="51"/>
        <v>0.450771703843242</v>
      </c>
      <c r="K69" s="6">
        <f t="shared" si="25"/>
        <v>11.329113924050633</v>
      </c>
      <c r="L69" s="6">
        <f t="shared" si="44"/>
        <v>77.458985427674833</v>
      </c>
      <c r="M69" s="6">
        <f t="shared" si="48"/>
        <v>27.005344361220391</v>
      </c>
      <c r="N69" s="6">
        <f t="shared" si="49"/>
        <v>13.572886075949368</v>
      </c>
      <c r="O69" s="6">
        <f t="shared" si="45"/>
        <v>0.25652525160950762</v>
      </c>
      <c r="P69" s="3">
        <f t="shared" si="53"/>
        <v>2.0790803696402325</v>
      </c>
      <c r="Q69" s="3">
        <f t="shared" si="52"/>
        <v>23.026666666666667</v>
      </c>
      <c r="R69" s="3">
        <f t="shared" si="23"/>
        <v>2940.708052295246</v>
      </c>
      <c r="W69">
        <f t="shared" si="54"/>
        <v>1093.6208342977297</v>
      </c>
      <c r="X69">
        <f t="shared" si="55"/>
        <v>-7.750657792014664</v>
      </c>
      <c r="Y69">
        <f t="shared" si="56"/>
        <v>7.750657792014664</v>
      </c>
    </row>
    <row r="70" spans="1:25" x14ac:dyDescent="0.3">
      <c r="A70" s="20"/>
      <c r="B70" s="2">
        <v>240</v>
      </c>
      <c r="C70" s="2">
        <v>292</v>
      </c>
      <c r="D70" s="2">
        <v>79.34</v>
      </c>
      <c r="E70" s="6">
        <f t="shared" si="50"/>
        <v>0.97333333333333338</v>
      </c>
      <c r="F70" s="9">
        <f t="shared" si="46"/>
        <v>2.2075681691708406</v>
      </c>
      <c r="G70" s="6">
        <f t="shared" si="47"/>
        <v>35.610964603616118</v>
      </c>
      <c r="H70" s="6">
        <v>1.78</v>
      </c>
      <c r="I70" s="6">
        <f t="shared" si="43"/>
        <v>0.45102630221763795</v>
      </c>
      <c r="J70" s="6">
        <f t="shared" si="51"/>
        <v>0.44883998744159459</v>
      </c>
      <c r="K70" s="6">
        <f t="shared" si="25"/>
        <v>11.280564658432064</v>
      </c>
      <c r="L70" s="6">
        <f t="shared" si="44"/>
        <v>77.555581658511613</v>
      </c>
      <c r="M70" s="6">
        <f t="shared" si="48"/>
        <v>27.101940592057179</v>
      </c>
      <c r="N70" s="6">
        <f t="shared" si="49"/>
        <v>13.621435341567937</v>
      </c>
      <c r="O70" s="6">
        <f t="shared" si="45"/>
        <v>0.26376598161330533</v>
      </c>
      <c r="P70" s="3">
        <f t="shared" si="53"/>
        <v>2.0827954131367341</v>
      </c>
      <c r="Q70" s="3">
        <f t="shared" si="52"/>
        <v>25.12</v>
      </c>
      <c r="R70" s="3">
        <f t="shared" si="23"/>
        <v>2940.2626363537588</v>
      </c>
      <c r="W70">
        <f t="shared" si="54"/>
        <v>1088.9342816929752</v>
      </c>
      <c r="X70">
        <f t="shared" si="55"/>
        <v>-7.7315532164904788</v>
      </c>
      <c r="Y70">
        <f t="shared" si="56"/>
        <v>7.7315532164904788</v>
      </c>
    </row>
    <row r="71" spans="1:25" x14ac:dyDescent="0.3">
      <c r="A71" s="21"/>
      <c r="B71" s="5">
        <v>260</v>
      </c>
      <c r="C71" s="5">
        <v>296</v>
      </c>
      <c r="D71" s="5">
        <v>80.11</v>
      </c>
      <c r="E71" s="5">
        <f t="shared" si="50"/>
        <v>0.98666666666666669</v>
      </c>
      <c r="F71" s="5">
        <f t="shared" si="46"/>
        <v>2.2289927657206459</v>
      </c>
      <c r="G71" s="5">
        <f t="shared" si="47"/>
        <v>35.610964603616118</v>
      </c>
      <c r="H71" s="5">
        <v>1.53</v>
      </c>
      <c r="I71" s="5">
        <f t="shared" si="43"/>
        <v>0.45127004326800713</v>
      </c>
      <c r="J71" s="5">
        <f t="shared" si="51"/>
        <v>0.4445258345227327</v>
      </c>
      <c r="K71" s="5">
        <f t="shared" si="25"/>
        <v>11.172138309823993</v>
      </c>
      <c r="L71" s="5">
        <f t="shared" si="44"/>
        <v>77.771312555065677</v>
      </c>
      <c r="M71" s="5">
        <f t="shared" si="48"/>
        <v>27.317671488611239</v>
      </c>
      <c r="N71" s="5">
        <f t="shared" si="49"/>
        <v>13.729861690176008</v>
      </c>
      <c r="O71" s="5">
        <f t="shared" si="45"/>
        <v>0.26950754735184179</v>
      </c>
      <c r="P71" s="5">
        <f t="shared" si="53"/>
        <v>2.0910684869830316</v>
      </c>
      <c r="Q71" s="5">
        <f t="shared" si="52"/>
        <v>27.213333333333331</v>
      </c>
      <c r="R71" s="5">
        <f t="shared" si="23"/>
        <v>2939.7618273757739</v>
      </c>
      <c r="S71" s="5"/>
      <c r="T71" s="5"/>
      <c r="U71" s="5"/>
      <c r="V71" s="5"/>
      <c r="W71" s="5">
        <f t="shared" si="54"/>
        <v>1078.4676808078973</v>
      </c>
      <c r="X71" s="5">
        <f t="shared" si="55"/>
        <v>-7.6883625694464826</v>
      </c>
      <c r="Y71" s="5">
        <f t="shared" si="56"/>
        <v>7.6883625694464826</v>
      </c>
    </row>
    <row r="72" spans="1:25" x14ac:dyDescent="0.3">
      <c r="A72" s="19">
        <v>6</v>
      </c>
      <c r="B72" s="2">
        <v>0</v>
      </c>
      <c r="C72" s="2">
        <v>7</v>
      </c>
      <c r="D72" s="4">
        <v>64</v>
      </c>
      <c r="E72" s="6">
        <f t="shared" si="50"/>
        <v>2.3333333333333334E-2</v>
      </c>
      <c r="F72" s="9">
        <f>D72/64</f>
        <v>1</v>
      </c>
      <c r="G72" s="6">
        <f>3.655*(300)^0.5</f>
        <v>63.306457016642469</v>
      </c>
      <c r="H72" s="6">
        <v>46.87</v>
      </c>
      <c r="I72" s="6">
        <f t="shared" ref="I72:I85" si="57">E72*(64/(D72-H72))</f>
        <v>8.7176493481222028E-2</v>
      </c>
      <c r="J72" s="6">
        <f t="shared" si="51"/>
        <v>0.98916339088503857</v>
      </c>
      <c r="K72" s="6">
        <f t="shared" si="25"/>
        <v>13.984375</v>
      </c>
      <c r="L72" s="6">
        <f t="shared" ref="L72:L85" si="58">(28.27-K72)/(28.27)*100</f>
        <v>50.532808631057655</v>
      </c>
      <c r="M72" s="6">
        <v>0</v>
      </c>
      <c r="N72" s="6">
        <v>0</v>
      </c>
      <c r="O72" s="6">
        <f t="shared" ref="O72:O85" si="59">N72*C72/(28.27*300)</f>
        <v>0</v>
      </c>
      <c r="P72" s="3">
        <f t="shared" si="53"/>
        <v>0</v>
      </c>
      <c r="Q72" s="3">
        <f t="shared" si="52"/>
        <v>0</v>
      </c>
      <c r="R72" s="3">
        <f t="shared" si="23"/>
        <v>2943</v>
      </c>
      <c r="W72">
        <f t="shared" si="54"/>
        <v>2399.8172102937897</v>
      </c>
      <c r="X72">
        <f t="shared" si="55"/>
        <v>0</v>
      </c>
      <c r="Y72">
        <f t="shared" si="56"/>
        <v>0</v>
      </c>
    </row>
    <row r="73" spans="1:25" x14ac:dyDescent="0.3">
      <c r="A73" s="20"/>
      <c r="B73" s="2">
        <v>20</v>
      </c>
      <c r="C73" s="2">
        <v>146</v>
      </c>
      <c r="D73" s="2">
        <v>69.72</v>
      </c>
      <c r="E73" s="6">
        <f t="shared" si="50"/>
        <v>0.48666666666666669</v>
      </c>
      <c r="F73" s="9">
        <f t="shared" ref="F73:F85" si="60">D73/64</f>
        <v>1.089375</v>
      </c>
      <c r="G73" s="6">
        <f t="shared" ref="G73:G85" si="61">3.655*(300)^0.5</f>
        <v>63.306457016642469</v>
      </c>
      <c r="H73" s="6">
        <v>18.850000000000001</v>
      </c>
      <c r="I73" s="6">
        <f t="shared" si="57"/>
        <v>0.61227966712535231</v>
      </c>
      <c r="J73" s="6">
        <f t="shared" si="51"/>
        <v>0.90800999737008703</v>
      </c>
      <c r="K73" s="6">
        <f t="shared" si="25"/>
        <v>12.837062535857717</v>
      </c>
      <c r="L73" s="6">
        <f t="shared" si="58"/>
        <v>54.591218479456252</v>
      </c>
      <c r="M73" s="6">
        <f t="shared" ref="M73:M85" si="62">(-K73+13.984)/(28.27)*100</f>
        <v>4.0570833538814401</v>
      </c>
      <c r="N73" s="6">
        <f t="shared" ref="N73:N85" si="63">(-K73+13.984)</f>
        <v>1.1469374641422831</v>
      </c>
      <c r="O73" s="6">
        <f t="shared" si="59"/>
        <v>1.9744472322223008E-2</v>
      </c>
      <c r="P73" s="3">
        <f t="shared" si="53"/>
        <v>0.60437298775306614</v>
      </c>
      <c r="Q73" s="3">
        <f t="shared" si="52"/>
        <v>2.0933333333333333</v>
      </c>
      <c r="R73" s="3">
        <f t="shared" si="23"/>
        <v>2942.9983993850501</v>
      </c>
      <c r="W73">
        <f t="shared" si="54"/>
        <v>2202.9303135226983</v>
      </c>
      <c r="X73">
        <f t="shared" si="55"/>
        <v>-4.4662676755972743</v>
      </c>
      <c r="Y73">
        <f t="shared" si="56"/>
        <v>4.4662676755972743</v>
      </c>
    </row>
    <row r="74" spans="1:25" x14ac:dyDescent="0.3">
      <c r="A74" s="20"/>
      <c r="B74" s="2">
        <v>40</v>
      </c>
      <c r="C74" s="2">
        <v>201</v>
      </c>
      <c r="D74" s="2">
        <v>80.78</v>
      </c>
      <c r="E74" s="6">
        <f t="shared" si="50"/>
        <v>0.67</v>
      </c>
      <c r="F74" s="9">
        <f t="shared" si="60"/>
        <v>1.2621875</v>
      </c>
      <c r="G74" s="6">
        <f t="shared" si="61"/>
        <v>63.306457016642469</v>
      </c>
      <c r="H74" s="6">
        <v>10.8</v>
      </c>
      <c r="I74" s="6">
        <f t="shared" si="57"/>
        <v>0.61274649899971423</v>
      </c>
      <c r="J74" s="6">
        <f t="shared" si="51"/>
        <v>0.78368973776482387</v>
      </c>
      <c r="K74" s="6">
        <f t="shared" si="25"/>
        <v>11.079475117603367</v>
      </c>
      <c r="L74" s="6">
        <f t="shared" si="58"/>
        <v>60.808365342754264</v>
      </c>
      <c r="M74" s="6">
        <f t="shared" si="62"/>
        <v>10.274230217179458</v>
      </c>
      <c r="N74" s="6">
        <f t="shared" si="63"/>
        <v>2.9045248823966325</v>
      </c>
      <c r="O74" s="6">
        <f t="shared" si="59"/>
        <v>6.8837342455102368E-2</v>
      </c>
      <c r="P74" s="3">
        <f t="shared" si="53"/>
        <v>0.96177332273781524</v>
      </c>
      <c r="Q74" s="3">
        <f t="shared" si="52"/>
        <v>4.1866666666666665</v>
      </c>
      <c r="R74" s="3">
        <f t="shared" si="23"/>
        <v>2942.9837862966565</v>
      </c>
      <c r="W74">
        <f t="shared" si="54"/>
        <v>1901.3159378410812</v>
      </c>
      <c r="X74">
        <f t="shared" si="55"/>
        <v>-6.157765534189144</v>
      </c>
      <c r="Y74">
        <f t="shared" si="56"/>
        <v>6.157765534189144</v>
      </c>
    </row>
    <row r="75" spans="1:25" x14ac:dyDescent="0.3">
      <c r="A75" s="20"/>
      <c r="B75" s="2">
        <v>60</v>
      </c>
      <c r="C75" s="2">
        <v>228</v>
      </c>
      <c r="D75" s="2">
        <v>86.36</v>
      </c>
      <c r="E75" s="6">
        <f t="shared" si="50"/>
        <v>0.76</v>
      </c>
      <c r="F75" s="9">
        <f t="shared" si="60"/>
        <v>1.349375</v>
      </c>
      <c r="G75" s="6">
        <f t="shared" si="61"/>
        <v>63.306457016642469</v>
      </c>
      <c r="H75" s="6">
        <v>8.3000000000000007</v>
      </c>
      <c r="I75" s="6">
        <f t="shared" si="57"/>
        <v>0.62311042787599291</v>
      </c>
      <c r="J75" s="6">
        <f t="shared" si="51"/>
        <v>0.73305299926635559</v>
      </c>
      <c r="K75" s="6">
        <f t="shared" si="25"/>
        <v>10.363594256600278</v>
      </c>
      <c r="L75" s="6">
        <f t="shared" si="58"/>
        <v>63.340664108240972</v>
      </c>
      <c r="M75" s="6">
        <f t="shared" si="62"/>
        <v>12.806528982666155</v>
      </c>
      <c r="N75" s="6">
        <f t="shared" si="63"/>
        <v>3.6204057433997221</v>
      </c>
      <c r="O75" s="6">
        <f t="shared" si="59"/>
        <v>9.7329620268262779E-2</v>
      </c>
      <c r="P75" s="3">
        <f t="shared" si="53"/>
        <v>1.0737762614629922</v>
      </c>
      <c r="Q75" s="3">
        <f t="shared" si="52"/>
        <v>6.28</v>
      </c>
      <c r="R75" s="3">
        <f t="shared" si="23"/>
        <v>2942.9545277038633</v>
      </c>
      <c r="W75">
        <f t="shared" si="54"/>
        <v>1778.4657417647352</v>
      </c>
      <c r="X75">
        <f t="shared" si="55"/>
        <v>-6.4384103025377231</v>
      </c>
      <c r="Y75">
        <f t="shared" si="56"/>
        <v>6.4384103025377231</v>
      </c>
    </row>
    <row r="76" spans="1:25" x14ac:dyDescent="0.3">
      <c r="A76" s="20"/>
      <c r="B76" s="2">
        <v>80</v>
      </c>
      <c r="C76" s="2">
        <v>244</v>
      </c>
      <c r="D76" s="2">
        <v>89.99</v>
      </c>
      <c r="E76" s="6">
        <f t="shared" si="50"/>
        <v>0.81333333333333335</v>
      </c>
      <c r="F76" s="9">
        <f t="shared" si="60"/>
        <v>1.4060937499999999</v>
      </c>
      <c r="G76" s="6">
        <f t="shared" si="61"/>
        <v>63.306457016642469</v>
      </c>
      <c r="H76" s="6">
        <v>6.59</v>
      </c>
      <c r="I76" s="6">
        <f t="shared" si="57"/>
        <v>0.62414068745004003</v>
      </c>
      <c r="J76" s="6">
        <f t="shared" si="51"/>
        <v>0.70348324276744612</v>
      </c>
      <c r="K76" s="6">
        <f t="shared" si="25"/>
        <v>9.9455495055006118</v>
      </c>
      <c r="L76" s="6">
        <f t="shared" si="58"/>
        <v>64.8194216289331</v>
      </c>
      <c r="M76" s="6">
        <f t="shared" si="62"/>
        <v>14.285286503358288</v>
      </c>
      <c r="N76" s="6">
        <f t="shared" si="63"/>
        <v>4.0384504944993882</v>
      </c>
      <c r="O76" s="6">
        <f t="shared" si="59"/>
        <v>0.11618699689398075</v>
      </c>
      <c r="P76" s="3">
        <f t="shared" si="53"/>
        <v>1.1340770391522301</v>
      </c>
      <c r="Q76" s="3">
        <f t="shared" si="52"/>
        <v>8.3733333333333331</v>
      </c>
      <c r="R76" s="3">
        <f t="shared" si="23"/>
        <v>2942.9098258876252</v>
      </c>
      <c r="W76">
        <f t="shared" si="54"/>
        <v>1706.7263191332654</v>
      </c>
      <c r="X76">
        <f t="shared" si="55"/>
        <v>-6.529925931022782</v>
      </c>
      <c r="Y76">
        <f t="shared" si="56"/>
        <v>6.529925931022782</v>
      </c>
    </row>
    <row r="77" spans="1:25" x14ac:dyDescent="0.3">
      <c r="A77" s="20"/>
      <c r="B77" s="2">
        <v>100</v>
      </c>
      <c r="C77" s="2">
        <v>254</v>
      </c>
      <c r="D77" s="2">
        <v>92.75</v>
      </c>
      <c r="E77" s="6">
        <f t="shared" si="50"/>
        <v>0.84666666666666668</v>
      </c>
      <c r="F77" s="9">
        <f t="shared" si="60"/>
        <v>1.44921875</v>
      </c>
      <c r="G77" s="6">
        <f t="shared" si="61"/>
        <v>63.306457016642469</v>
      </c>
      <c r="H77" s="6">
        <v>5.43</v>
      </c>
      <c r="I77" s="6">
        <f t="shared" si="57"/>
        <v>0.62055275614597649</v>
      </c>
      <c r="J77" s="6">
        <f t="shared" si="51"/>
        <v>0.68254940179668433</v>
      </c>
      <c r="K77" s="6">
        <f t="shared" si="25"/>
        <v>9.6495956873315372</v>
      </c>
      <c r="L77" s="6">
        <f t="shared" si="58"/>
        <v>65.866304607953523</v>
      </c>
      <c r="M77" s="6">
        <f t="shared" si="62"/>
        <v>15.332169482378715</v>
      </c>
      <c r="N77" s="6">
        <f t="shared" si="63"/>
        <v>4.3344043126684628</v>
      </c>
      <c r="O77" s="6">
        <f t="shared" si="59"/>
        <v>0.12981236828413981</v>
      </c>
      <c r="P77" s="3">
        <f t="shared" si="53"/>
        <v>1.1748972461736342</v>
      </c>
      <c r="Q77" s="3">
        <f t="shared" si="52"/>
        <v>10.466666666666667</v>
      </c>
      <c r="R77" s="3">
        <f t="shared" si="23"/>
        <v>2942.8487774495361</v>
      </c>
      <c r="W77">
        <f t="shared" si="54"/>
        <v>1655.9385602027228</v>
      </c>
      <c r="X77">
        <f t="shared" si="55"/>
        <v>-6.5665527542754765</v>
      </c>
      <c r="Y77">
        <f t="shared" si="56"/>
        <v>6.5665527542754765</v>
      </c>
    </row>
    <row r="78" spans="1:25" x14ac:dyDescent="0.3">
      <c r="A78" s="20"/>
      <c r="B78" s="2">
        <v>120</v>
      </c>
      <c r="C78" s="2">
        <v>261</v>
      </c>
      <c r="D78" s="2">
        <v>94.9</v>
      </c>
      <c r="E78" s="6">
        <f t="shared" si="50"/>
        <v>0.87</v>
      </c>
      <c r="F78" s="9">
        <f t="shared" si="60"/>
        <v>1.4828125000000001</v>
      </c>
      <c r="G78" s="6">
        <f t="shared" si="61"/>
        <v>63.306457016642469</v>
      </c>
      <c r="H78" s="6">
        <v>4.55</v>
      </c>
      <c r="I78" s="6">
        <f t="shared" si="57"/>
        <v>0.61627006087437741</v>
      </c>
      <c r="J78" s="6">
        <f t="shared" si="51"/>
        <v>0.66708595381077418</v>
      </c>
      <c r="K78" s="6">
        <f t="shared" si="25"/>
        <v>9.4309799789251834</v>
      </c>
      <c r="L78" s="6">
        <f t="shared" si="58"/>
        <v>66.639618044127403</v>
      </c>
      <c r="M78" s="6">
        <f t="shared" si="62"/>
        <v>16.105482918552589</v>
      </c>
      <c r="N78" s="6">
        <f t="shared" si="63"/>
        <v>4.5530200210748166</v>
      </c>
      <c r="O78" s="6">
        <f t="shared" si="59"/>
        <v>0.14011770139140753</v>
      </c>
      <c r="P78" s="3">
        <f t="shared" si="53"/>
        <v>1.2041621054237159</v>
      </c>
      <c r="Q78" s="3">
        <f t="shared" si="52"/>
        <v>12.56</v>
      </c>
      <c r="R78" s="3">
        <f t="shared" si="23"/>
        <v>2942.7712562741413</v>
      </c>
      <c r="W78">
        <f t="shared" si="54"/>
        <v>1618.4225654246843</v>
      </c>
      <c r="X78">
        <f t="shared" si="55"/>
        <v>-6.579723937071746</v>
      </c>
      <c r="Y78">
        <f t="shared" si="56"/>
        <v>6.579723937071746</v>
      </c>
    </row>
    <row r="79" spans="1:25" x14ac:dyDescent="0.3">
      <c r="A79" s="20"/>
      <c r="B79" s="2">
        <v>140</v>
      </c>
      <c r="C79" s="2">
        <v>271</v>
      </c>
      <c r="D79" s="2">
        <v>96.24</v>
      </c>
      <c r="E79" s="6">
        <f t="shared" si="50"/>
        <v>0.90333333333333332</v>
      </c>
      <c r="F79" s="9">
        <f t="shared" si="60"/>
        <v>1.5037499999999999</v>
      </c>
      <c r="G79" s="6">
        <f t="shared" si="61"/>
        <v>63.306457016642469</v>
      </c>
      <c r="H79" s="6">
        <v>3.8</v>
      </c>
      <c r="I79" s="6">
        <f t="shared" si="57"/>
        <v>0.62541468339824025</v>
      </c>
      <c r="J79" s="6">
        <f t="shared" si="51"/>
        <v>0.65779776617458929</v>
      </c>
      <c r="K79" s="6">
        <f t="shared" si="25"/>
        <v>9.2996674979218632</v>
      </c>
      <c r="L79" s="6">
        <f t="shared" si="58"/>
        <v>67.104112140354204</v>
      </c>
      <c r="M79" s="6">
        <f t="shared" si="62"/>
        <v>16.569977014779404</v>
      </c>
      <c r="N79" s="6">
        <f t="shared" si="63"/>
        <v>4.6843325020781368</v>
      </c>
      <c r="O79" s="6">
        <f t="shared" si="59"/>
        <v>0.14968212570017392</v>
      </c>
      <c r="P79" s="3">
        <f t="shared" si="53"/>
        <v>1.2214031429485115</v>
      </c>
      <c r="Q79" s="3">
        <f t="shared" si="52"/>
        <v>14.653333333333334</v>
      </c>
      <c r="R79" s="3">
        <f t="shared" si="23"/>
        <v>2942.6796749338805</v>
      </c>
      <c r="W79">
        <f t="shared" si="54"/>
        <v>1595.8884191479899</v>
      </c>
      <c r="X79">
        <f t="shared" si="55"/>
        <v>-6.5822351005450201</v>
      </c>
      <c r="Y79">
        <f t="shared" si="56"/>
        <v>6.5822351005450201</v>
      </c>
    </row>
    <row r="80" spans="1:25" x14ac:dyDescent="0.3">
      <c r="A80" s="20"/>
      <c r="B80" s="2">
        <v>160</v>
      </c>
      <c r="C80" s="2">
        <v>275</v>
      </c>
      <c r="D80" s="2">
        <v>97.41</v>
      </c>
      <c r="E80" s="6">
        <f t="shared" si="50"/>
        <v>0.91666666666666663</v>
      </c>
      <c r="F80" s="9">
        <f t="shared" si="60"/>
        <v>1.5220312499999999</v>
      </c>
      <c r="G80" s="6">
        <f t="shared" si="61"/>
        <v>63.306457016642469</v>
      </c>
      <c r="H80" s="6">
        <v>3.6</v>
      </c>
      <c r="I80" s="6">
        <f t="shared" si="57"/>
        <v>0.62537753615463876</v>
      </c>
      <c r="J80" s="6">
        <f t="shared" si="51"/>
        <v>0.64989689987313903</v>
      </c>
      <c r="K80" s="6">
        <f t="shared" si="25"/>
        <v>9.1879683810697053</v>
      </c>
      <c r="L80" s="6">
        <f t="shared" si="58"/>
        <v>67.499227516555692</v>
      </c>
      <c r="M80" s="6">
        <f t="shared" si="62"/>
        <v>16.965092390980878</v>
      </c>
      <c r="N80" s="6">
        <f t="shared" si="63"/>
        <v>4.7960316189302947</v>
      </c>
      <c r="O80" s="6">
        <f t="shared" si="59"/>
        <v>0.15551334691732474</v>
      </c>
      <c r="P80" s="3">
        <f t="shared" si="53"/>
        <v>1.2358796886246133</v>
      </c>
      <c r="Q80" s="3">
        <f t="shared" si="52"/>
        <v>16.746666666666666</v>
      </c>
      <c r="R80" s="3">
        <f t="shared" ref="R80:R85" si="64">1000*(9.81*0.3-(Q80*P80*10^-3)^2)</f>
        <v>2942.5716397714932</v>
      </c>
      <c r="W80">
        <f t="shared" si="54"/>
        <v>1576.7200642521564</v>
      </c>
      <c r="X80">
        <f t="shared" si="55"/>
        <v>-6.5812851013986489</v>
      </c>
      <c r="Y80">
        <f t="shared" si="56"/>
        <v>6.5812851013986489</v>
      </c>
    </row>
    <row r="81" spans="1:25" x14ac:dyDescent="0.3">
      <c r="A81" s="20"/>
      <c r="B81" s="2">
        <v>180</v>
      </c>
      <c r="C81" s="2">
        <v>280</v>
      </c>
      <c r="D81" s="2">
        <v>98.74</v>
      </c>
      <c r="E81" s="6">
        <f t="shared" si="50"/>
        <v>0.93333333333333335</v>
      </c>
      <c r="F81" s="9">
        <f t="shared" si="60"/>
        <v>1.5428124999999999</v>
      </c>
      <c r="G81" s="6">
        <f t="shared" si="61"/>
        <v>63.306457016642469</v>
      </c>
      <c r="H81" s="6">
        <v>3.1</v>
      </c>
      <c r="I81" s="6">
        <f t="shared" si="57"/>
        <v>0.62456433849156556</v>
      </c>
      <c r="J81" s="6">
        <f t="shared" si="51"/>
        <v>0.64114297160869427</v>
      </c>
      <c r="K81" s="6">
        <f t="shared" ref="K81:K85" si="65">895/D81</f>
        <v>9.0642090338262111</v>
      </c>
      <c r="L81" s="6">
        <f t="shared" si="58"/>
        <v>67.93700377139649</v>
      </c>
      <c r="M81" s="6">
        <f t="shared" si="62"/>
        <v>17.40286864582168</v>
      </c>
      <c r="N81" s="6">
        <f t="shared" si="63"/>
        <v>4.9197909661737889</v>
      </c>
      <c r="O81" s="6">
        <f t="shared" si="59"/>
        <v>0.16242677402766903</v>
      </c>
      <c r="P81" s="3">
        <f t="shared" si="53"/>
        <v>1.2517237752833039</v>
      </c>
      <c r="Q81" s="3">
        <f t="shared" si="52"/>
        <v>18.84</v>
      </c>
      <c r="R81" s="3">
        <f t="shared" si="64"/>
        <v>2942.4438668291841</v>
      </c>
      <c r="W81">
        <f t="shared" si="54"/>
        <v>1555.4820889082696</v>
      </c>
      <c r="X81">
        <f t="shared" si="55"/>
        <v>-6.5770021156831016</v>
      </c>
      <c r="Y81">
        <f t="shared" si="56"/>
        <v>6.5770021156831016</v>
      </c>
    </row>
    <row r="82" spans="1:25" x14ac:dyDescent="0.3">
      <c r="A82" s="20"/>
      <c r="B82" s="2">
        <v>200</v>
      </c>
      <c r="C82" s="2">
        <v>286</v>
      </c>
      <c r="D82" s="2">
        <v>99.3</v>
      </c>
      <c r="E82" s="6">
        <f t="shared" si="50"/>
        <v>0.95333333333333337</v>
      </c>
      <c r="F82" s="9">
        <f t="shared" si="60"/>
        <v>1.5515625</v>
      </c>
      <c r="G82" s="6">
        <f t="shared" si="61"/>
        <v>63.306457016642469</v>
      </c>
      <c r="H82" s="6">
        <v>2.69</v>
      </c>
      <c r="I82" s="6">
        <f t="shared" si="57"/>
        <v>0.63154262843735987</v>
      </c>
      <c r="J82" s="6">
        <f t="shared" si="51"/>
        <v>0.63752726099337831</v>
      </c>
      <c r="K82" s="6">
        <f t="shared" si="65"/>
        <v>9.0130916414904334</v>
      </c>
      <c r="L82" s="6">
        <f t="shared" si="58"/>
        <v>68.11782227983575</v>
      </c>
      <c r="M82" s="6">
        <f t="shared" si="62"/>
        <v>17.583687154260936</v>
      </c>
      <c r="N82" s="6">
        <f t="shared" si="63"/>
        <v>4.9709083585095666</v>
      </c>
      <c r="O82" s="6">
        <f t="shared" si="59"/>
        <v>0.16763115087062092</v>
      </c>
      <c r="P82" s="3">
        <f t="shared" si="53"/>
        <v>1.2582097734162789</v>
      </c>
      <c r="Q82" s="3">
        <f t="shared" si="52"/>
        <v>20.933333333333334</v>
      </c>
      <c r="R82" s="3">
        <f t="shared" si="64"/>
        <v>2942.3062821224125</v>
      </c>
      <c r="W82">
        <f t="shared" si="54"/>
        <v>1546.7099844793809</v>
      </c>
      <c r="X82">
        <f t="shared" si="55"/>
        <v>-6.574260941338764</v>
      </c>
      <c r="Y82">
        <f t="shared" si="56"/>
        <v>6.574260941338764</v>
      </c>
    </row>
    <row r="83" spans="1:25" x14ac:dyDescent="0.3">
      <c r="A83" s="20"/>
      <c r="B83" s="2">
        <v>220</v>
      </c>
      <c r="C83" s="2">
        <v>289</v>
      </c>
      <c r="D83" s="2">
        <v>100.32</v>
      </c>
      <c r="E83" s="6">
        <f t="shared" si="50"/>
        <v>0.96333333333333337</v>
      </c>
      <c r="F83" s="9">
        <f t="shared" si="60"/>
        <v>1.5674999999999999</v>
      </c>
      <c r="G83" s="6">
        <f t="shared" si="61"/>
        <v>63.306457016642469</v>
      </c>
      <c r="H83" s="6">
        <v>2.52</v>
      </c>
      <c r="I83" s="6">
        <f t="shared" si="57"/>
        <v>0.63040218132242676</v>
      </c>
      <c r="J83" s="6">
        <f t="shared" si="51"/>
        <v>0.63104522544500075</v>
      </c>
      <c r="K83" s="6">
        <f t="shared" si="65"/>
        <v>8.9214513556618833</v>
      </c>
      <c r="L83" s="6">
        <f t="shared" si="58"/>
        <v>68.441983177708238</v>
      </c>
      <c r="M83" s="6">
        <f t="shared" si="62"/>
        <v>17.907848052133417</v>
      </c>
      <c r="N83" s="6">
        <f t="shared" si="63"/>
        <v>5.0625486443381167</v>
      </c>
      <c r="O83" s="6">
        <f t="shared" si="59"/>
        <v>0.17251226956888524</v>
      </c>
      <c r="P83" s="3">
        <f t="shared" si="53"/>
        <v>1.2697545583002412</v>
      </c>
      <c r="Q83" s="3">
        <f t="shared" si="52"/>
        <v>23.026666666666667</v>
      </c>
      <c r="R83" s="3">
        <f t="shared" si="64"/>
        <v>2942.1451267858088</v>
      </c>
      <c r="W83">
        <f t="shared" si="54"/>
        <v>1530.9838662161339</v>
      </c>
      <c r="X83">
        <f t="shared" si="55"/>
        <v>-6.5679485897612864</v>
      </c>
      <c r="Y83">
        <f t="shared" si="56"/>
        <v>6.5679485897612864</v>
      </c>
    </row>
    <row r="84" spans="1:25" x14ac:dyDescent="0.3">
      <c r="A84" s="20"/>
      <c r="B84" s="2">
        <v>240</v>
      </c>
      <c r="C84" s="2">
        <v>296</v>
      </c>
      <c r="D84" s="2">
        <v>101.72</v>
      </c>
      <c r="E84" s="6">
        <f t="shared" si="50"/>
        <v>0.98666666666666669</v>
      </c>
      <c r="F84" s="9">
        <f t="shared" si="60"/>
        <v>1.589375</v>
      </c>
      <c r="G84" s="6">
        <f t="shared" si="61"/>
        <v>63.306457016642469</v>
      </c>
      <c r="H84" s="6">
        <v>2.36</v>
      </c>
      <c r="I84" s="6">
        <f t="shared" si="57"/>
        <v>0.63553408480944706</v>
      </c>
      <c r="J84" s="6">
        <f t="shared" si="51"/>
        <v>0.6223599785356122</v>
      </c>
      <c r="K84" s="6">
        <f t="shared" si="65"/>
        <v>8.7986629964608731</v>
      </c>
      <c r="L84" s="6">
        <f t="shared" si="58"/>
        <v>68.876324738376809</v>
      </c>
      <c r="M84" s="6">
        <f t="shared" si="62"/>
        <v>18.342189612802006</v>
      </c>
      <c r="N84" s="6">
        <f t="shared" si="63"/>
        <v>5.1853370035391269</v>
      </c>
      <c r="O84" s="6">
        <f t="shared" si="59"/>
        <v>0.18097627084631313</v>
      </c>
      <c r="P84" s="3">
        <f t="shared" si="53"/>
        <v>1.2850607811765922</v>
      </c>
      <c r="Q84" s="3">
        <f t="shared" si="52"/>
        <v>25.12</v>
      </c>
      <c r="R84" s="3">
        <f t="shared" si="64"/>
        <v>2941.9579546757691</v>
      </c>
      <c r="W84">
        <f t="shared" si="54"/>
        <v>1509.9125192568083</v>
      </c>
      <c r="X84">
        <f t="shared" si="55"/>
        <v>-6.556723987820952</v>
      </c>
      <c r="Y84">
        <f t="shared" si="56"/>
        <v>6.556723987820952</v>
      </c>
    </row>
    <row r="85" spans="1:25" x14ac:dyDescent="0.3">
      <c r="A85" s="20"/>
      <c r="B85" s="7">
        <v>260</v>
      </c>
      <c r="C85" s="7">
        <v>298</v>
      </c>
      <c r="D85" s="7">
        <v>102.85</v>
      </c>
      <c r="E85" s="7">
        <f t="shared" si="50"/>
        <v>0.99333333333333329</v>
      </c>
      <c r="F85" s="7">
        <f t="shared" si="60"/>
        <v>1.6070312499999999</v>
      </c>
      <c r="G85" s="7">
        <f t="shared" si="61"/>
        <v>63.306457016642469</v>
      </c>
      <c r="H85" s="7">
        <v>2.12</v>
      </c>
      <c r="I85" s="5">
        <f t="shared" si="57"/>
        <v>0.63112611271054631</v>
      </c>
      <c r="J85" s="5">
        <f t="shared" si="51"/>
        <v>0.61552218781373336</v>
      </c>
      <c r="K85" s="5">
        <f t="shared" si="65"/>
        <v>8.7019931939718038</v>
      </c>
      <c r="L85" s="5">
        <f t="shared" si="58"/>
        <v>69.218276639646959</v>
      </c>
      <c r="M85" s="5">
        <f t="shared" si="62"/>
        <v>18.684141514072149</v>
      </c>
      <c r="N85" s="5">
        <f t="shared" si="63"/>
        <v>5.2820068060281962</v>
      </c>
      <c r="O85" s="5">
        <f t="shared" si="59"/>
        <v>0.18559580570644998</v>
      </c>
      <c r="P85" s="5">
        <f t="shared" si="53"/>
        <v>1.2969841065411882</v>
      </c>
      <c r="Q85" s="5">
        <f t="shared" si="52"/>
        <v>27.213333333333331</v>
      </c>
      <c r="R85" s="5">
        <f t="shared" si="64"/>
        <v>2941.7542445636946</v>
      </c>
      <c r="S85" s="5"/>
      <c r="T85" s="5"/>
      <c r="U85" s="5"/>
      <c r="V85" s="5"/>
      <c r="W85" s="5">
        <f t="shared" si="54"/>
        <v>1493.3233005231168</v>
      </c>
      <c r="X85" s="5">
        <f t="shared" si="55"/>
        <v>-6.5457004751033532</v>
      </c>
      <c r="Y85" s="5">
        <f t="shared" si="56"/>
        <v>6.5457004751033532</v>
      </c>
    </row>
    <row r="137" spans="1:4" x14ac:dyDescent="0.3">
      <c r="A137" s="1" t="s">
        <v>87</v>
      </c>
      <c r="B137" s="1" t="s">
        <v>84</v>
      </c>
      <c r="C137" s="1" t="s">
        <v>85</v>
      </c>
      <c r="D137" s="1" t="s">
        <v>88</v>
      </c>
    </row>
    <row r="138" spans="1:4" x14ac:dyDescent="0.3">
      <c r="A138" s="1">
        <v>16</v>
      </c>
      <c r="B138" s="1">
        <v>514.875</v>
      </c>
      <c r="C138" s="1">
        <v>9.0820000000000007</v>
      </c>
      <c r="D138" s="22">
        <v>240</v>
      </c>
    </row>
    <row r="139" spans="1:4" x14ac:dyDescent="0.3">
      <c r="A139" s="1">
        <v>14</v>
      </c>
      <c r="B139" s="1">
        <v>630.93200000000002</v>
      </c>
      <c r="C139" s="1">
        <v>9.3670000000000009</v>
      </c>
      <c r="D139" s="22"/>
    </row>
    <row r="140" spans="1:4" x14ac:dyDescent="0.3">
      <c r="A140" s="1">
        <v>12</v>
      </c>
      <c r="B140" s="1">
        <v>729.24</v>
      </c>
      <c r="C140" s="1">
        <v>8.8930000000000007</v>
      </c>
      <c r="D140" s="22"/>
    </row>
    <row r="141" spans="1:4" x14ac:dyDescent="0.3">
      <c r="A141" s="1">
        <v>10</v>
      </c>
      <c r="B141" s="1">
        <v>901.14</v>
      </c>
      <c r="C141" s="1">
        <v>8.4920000000000009</v>
      </c>
      <c r="D141" s="22"/>
    </row>
    <row r="142" spans="1:4" x14ac:dyDescent="0.3">
      <c r="A142" s="1">
        <v>8</v>
      </c>
      <c r="B142" s="1">
        <v>1078.46</v>
      </c>
      <c r="C142" s="1">
        <v>7.6879999999999997</v>
      </c>
      <c r="D142" s="22"/>
    </row>
    <row r="143" spans="1:4" x14ac:dyDescent="0.3">
      <c r="A143" s="1">
        <v>6</v>
      </c>
      <c r="B143" s="1">
        <v>1493.32</v>
      </c>
      <c r="C143" s="1">
        <v>6.5449999999999999</v>
      </c>
      <c r="D143" s="22"/>
    </row>
    <row r="144" spans="1:4" x14ac:dyDescent="0.3">
      <c r="A144" s="1">
        <v>16</v>
      </c>
      <c r="B144" s="1">
        <v>556.38800000000003</v>
      </c>
      <c r="C144" s="1">
        <v>9.6999999999999993</v>
      </c>
      <c r="D144" s="22">
        <v>180</v>
      </c>
    </row>
    <row r="145" spans="1:4" x14ac:dyDescent="0.3">
      <c r="A145" s="1">
        <v>14</v>
      </c>
      <c r="B145" s="1">
        <v>671.02200000000005</v>
      </c>
      <c r="C145" s="1">
        <v>9.8450000000000006</v>
      </c>
      <c r="D145" s="22"/>
    </row>
    <row r="146" spans="1:4" x14ac:dyDescent="0.3">
      <c r="A146" s="1">
        <v>12</v>
      </c>
      <c r="B146" s="1">
        <v>765.93200000000002</v>
      </c>
      <c r="C146" s="1">
        <v>9.2330000000000005</v>
      </c>
      <c r="D146" s="22"/>
    </row>
    <row r="147" spans="1:4" x14ac:dyDescent="0.3">
      <c r="A147" s="1">
        <v>10</v>
      </c>
      <c r="B147" s="1">
        <v>942.81100000000004</v>
      </c>
      <c r="C147" s="1">
        <v>8.7530000000000001</v>
      </c>
      <c r="D147" s="22"/>
    </row>
    <row r="148" spans="1:4" x14ac:dyDescent="0.3">
      <c r="A148" s="1">
        <v>8</v>
      </c>
      <c r="B148" s="1">
        <v>1124.6559999999999</v>
      </c>
      <c r="C148" s="1">
        <v>7.8730000000000002</v>
      </c>
      <c r="D148" s="22"/>
    </row>
    <row r="149" spans="1:4" x14ac:dyDescent="0.3">
      <c r="A149" s="1">
        <v>6</v>
      </c>
      <c r="B149" s="1">
        <v>1555.482</v>
      </c>
      <c r="C149" s="1">
        <v>6.577</v>
      </c>
      <c r="D149" s="22"/>
    </row>
    <row r="150" spans="1:4" x14ac:dyDescent="0.3">
      <c r="A150" s="1">
        <v>16</v>
      </c>
      <c r="B150" s="1">
        <v>625.51400000000001</v>
      </c>
      <c r="C150" s="1">
        <v>10.68</v>
      </c>
      <c r="D150" s="22">
        <v>120</v>
      </c>
    </row>
    <row r="151" spans="1:4" x14ac:dyDescent="0.3">
      <c r="A151" s="1">
        <v>14</v>
      </c>
      <c r="B151" s="1">
        <v>708.8</v>
      </c>
      <c r="C151" s="1">
        <v>10.28</v>
      </c>
      <c r="D151" s="22"/>
    </row>
    <row r="152" spans="1:4" x14ac:dyDescent="0.3">
      <c r="A152" s="1">
        <v>12</v>
      </c>
      <c r="B152" s="1">
        <v>823.82500000000005</v>
      </c>
      <c r="C152" s="1">
        <v>9.74</v>
      </c>
      <c r="D152" s="22"/>
    </row>
    <row r="153" spans="1:4" x14ac:dyDescent="0.3">
      <c r="A153" s="1">
        <v>10</v>
      </c>
      <c r="B153" s="1">
        <v>983.59</v>
      </c>
      <c r="C153" s="1">
        <v>8.99</v>
      </c>
      <c r="D153" s="22"/>
    </row>
    <row r="154" spans="1:4" x14ac:dyDescent="0.3">
      <c r="A154" s="1">
        <v>8</v>
      </c>
      <c r="B154" s="1">
        <v>1170.83</v>
      </c>
      <c r="C154" s="1">
        <v>8.0440000000000005</v>
      </c>
      <c r="D154" s="22"/>
    </row>
    <row r="155" spans="1:4" x14ac:dyDescent="0.3">
      <c r="A155" s="1">
        <v>6</v>
      </c>
      <c r="B155" s="1">
        <v>1618.423</v>
      </c>
      <c r="C155" s="1">
        <v>6.5789999999999997</v>
      </c>
      <c r="D155" s="22"/>
    </row>
    <row r="156" spans="1:4" x14ac:dyDescent="0.3">
      <c r="A156" s="1">
        <v>16</v>
      </c>
      <c r="B156" s="1">
        <v>778.904</v>
      </c>
      <c r="C156" s="1">
        <v>12.69</v>
      </c>
      <c r="D156" s="22">
        <v>60</v>
      </c>
    </row>
    <row r="157" spans="1:4" x14ac:dyDescent="0.3">
      <c r="A157" s="1">
        <v>14</v>
      </c>
      <c r="B157" s="1">
        <v>909.56</v>
      </c>
      <c r="C157" s="1">
        <v>12.355</v>
      </c>
      <c r="D157" s="22"/>
    </row>
    <row r="158" spans="1:4" x14ac:dyDescent="0.3">
      <c r="A158" s="1">
        <v>12</v>
      </c>
      <c r="B158" s="1">
        <v>974.98</v>
      </c>
      <c r="C158" s="1">
        <v>10.944000000000001</v>
      </c>
      <c r="D158" s="22"/>
    </row>
    <row r="159" spans="1:4" x14ac:dyDescent="0.3">
      <c r="A159" s="1">
        <v>10</v>
      </c>
      <c r="B159" s="1">
        <v>1145.48</v>
      </c>
      <c r="C159" s="1">
        <v>9.0823</v>
      </c>
      <c r="D159" s="22"/>
    </row>
    <row r="160" spans="1:4" x14ac:dyDescent="0.3">
      <c r="A160" s="1">
        <v>8</v>
      </c>
      <c r="B160" s="1">
        <v>1298.79</v>
      </c>
      <c r="C160" s="1">
        <v>8.4369999999999994</v>
      </c>
      <c r="D160" s="22"/>
    </row>
    <row r="161" spans="1:4" x14ac:dyDescent="0.3">
      <c r="A161" s="1">
        <v>6</v>
      </c>
      <c r="B161" s="1">
        <v>1778.46</v>
      </c>
      <c r="C161" s="1">
        <v>6.4379999999999997</v>
      </c>
      <c r="D161" s="22"/>
    </row>
  </sheetData>
  <mergeCells count="10">
    <mergeCell ref="D138:D143"/>
    <mergeCell ref="D144:D149"/>
    <mergeCell ref="D150:D155"/>
    <mergeCell ref="D156:D161"/>
    <mergeCell ref="A72:A85"/>
    <mergeCell ref="A2:A15"/>
    <mergeCell ref="A16:A29"/>
    <mergeCell ref="A30:A43"/>
    <mergeCell ref="A44:A57"/>
    <mergeCell ref="A58:A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D17" sqref="D17"/>
    </sheetView>
  </sheetViews>
  <sheetFormatPr defaultRowHeight="14.4" x14ac:dyDescent="0.3"/>
  <cols>
    <col min="1" max="1" width="11" bestFit="1" customWidth="1"/>
    <col min="4" max="4" width="16.77734375" bestFit="1" customWidth="1"/>
    <col min="5" max="5" width="11.77734375" bestFit="1" customWidth="1"/>
    <col min="6" max="6" width="14.88671875" bestFit="1" customWidth="1"/>
    <col min="7" max="7" width="10" bestFit="1" customWidth="1"/>
    <col min="8" max="8" width="10.33203125" bestFit="1" customWidth="1"/>
    <col min="9" max="9" width="16" bestFit="1" customWidth="1"/>
    <col min="10" max="10" width="11.44140625" bestFit="1" customWidth="1"/>
    <col min="11" max="11" width="11.33203125" bestFit="1" customWidth="1"/>
    <col min="12" max="12" width="9.6640625" bestFit="1" customWidth="1"/>
    <col min="13" max="13" width="16.44140625" bestFit="1" customWidth="1"/>
  </cols>
  <sheetData>
    <row r="1" spans="1:13" ht="18" x14ac:dyDescent="0.3">
      <c r="A1" s="11" t="s">
        <v>27</v>
      </c>
      <c r="B1" s="11" t="s">
        <v>49</v>
      </c>
      <c r="C1" s="11" t="s">
        <v>21</v>
      </c>
      <c r="D1" s="11" t="s">
        <v>26</v>
      </c>
      <c r="E1" s="11" t="s">
        <v>77</v>
      </c>
      <c r="F1" s="11" t="s">
        <v>75</v>
      </c>
      <c r="G1" s="11" t="s">
        <v>76</v>
      </c>
      <c r="H1" s="11" t="s">
        <v>80</v>
      </c>
      <c r="I1" s="11" t="s">
        <v>81</v>
      </c>
      <c r="J1" s="11" t="s">
        <v>54</v>
      </c>
      <c r="K1" s="11" t="s">
        <v>59</v>
      </c>
      <c r="L1" s="11" t="s">
        <v>64</v>
      </c>
      <c r="M1" s="11" t="s">
        <v>70</v>
      </c>
    </row>
    <row r="2" spans="1:13" ht="18" x14ac:dyDescent="0.3">
      <c r="A2" s="11">
        <v>0</v>
      </c>
      <c r="B2" s="11">
        <v>0</v>
      </c>
      <c r="C2" s="11">
        <v>0</v>
      </c>
      <c r="D2" s="11" t="s">
        <v>48</v>
      </c>
      <c r="E2" s="11">
        <v>300</v>
      </c>
      <c r="F2" s="11" t="s">
        <v>48</v>
      </c>
      <c r="G2" s="11" t="s">
        <v>48</v>
      </c>
      <c r="H2" s="11" t="s">
        <v>48</v>
      </c>
      <c r="I2" s="11" t="s">
        <v>48</v>
      </c>
      <c r="J2" s="11" t="s">
        <v>48</v>
      </c>
      <c r="K2" s="11" t="s">
        <v>48</v>
      </c>
      <c r="L2" s="11" t="s">
        <v>68</v>
      </c>
      <c r="M2" s="11" t="s">
        <v>48</v>
      </c>
    </row>
    <row r="3" spans="1:13" ht="18" x14ac:dyDescent="0.3">
      <c r="A3" s="11">
        <v>1</v>
      </c>
      <c r="B3" s="11">
        <v>0.5</v>
      </c>
      <c r="C3" s="11" t="s">
        <v>22</v>
      </c>
      <c r="D3" s="11" t="s">
        <v>40</v>
      </c>
      <c r="E3" s="11" t="s">
        <v>29</v>
      </c>
      <c r="F3" s="11" t="s">
        <v>32</v>
      </c>
      <c r="G3" s="11" t="s">
        <v>37</v>
      </c>
      <c r="H3" s="11" t="s">
        <v>44</v>
      </c>
      <c r="I3" s="11" t="s">
        <v>50</v>
      </c>
      <c r="J3" s="11" t="s">
        <v>55</v>
      </c>
      <c r="K3" s="11" t="s">
        <v>60</v>
      </c>
      <c r="L3" s="11" t="s">
        <v>65</v>
      </c>
      <c r="M3" s="11" t="s">
        <v>71</v>
      </c>
    </row>
    <row r="4" spans="1:13" ht="18" x14ac:dyDescent="0.3">
      <c r="A4" s="11">
        <v>2</v>
      </c>
      <c r="B4" s="11">
        <v>1</v>
      </c>
      <c r="C4" s="11" t="s">
        <v>23</v>
      </c>
      <c r="D4" s="11" t="s">
        <v>41</v>
      </c>
      <c r="E4" s="11" t="s">
        <v>30</v>
      </c>
      <c r="F4" s="11" t="s">
        <v>33</v>
      </c>
      <c r="G4" s="11" t="s">
        <v>38</v>
      </c>
      <c r="H4" s="11" t="s">
        <v>45</v>
      </c>
      <c r="I4" s="11" t="s">
        <v>51</v>
      </c>
      <c r="J4" s="11" t="s">
        <v>56</v>
      </c>
      <c r="K4" s="11" t="s">
        <v>61</v>
      </c>
      <c r="L4" s="11" t="s">
        <v>66</v>
      </c>
      <c r="M4" s="11" t="s">
        <v>72</v>
      </c>
    </row>
    <row r="5" spans="1:13" ht="18" x14ac:dyDescent="0.3">
      <c r="A5" s="11">
        <v>3</v>
      </c>
      <c r="B5" s="11">
        <v>1.5</v>
      </c>
      <c r="C5" s="11" t="s">
        <v>24</v>
      </c>
      <c r="D5" s="11" t="s">
        <v>42</v>
      </c>
      <c r="E5" s="11" t="s">
        <v>31</v>
      </c>
      <c r="F5" s="11" t="s">
        <v>34</v>
      </c>
      <c r="G5" s="11" t="s">
        <v>43</v>
      </c>
      <c r="H5" s="11" t="s">
        <v>46</v>
      </c>
      <c r="I5" s="11" t="s">
        <v>52</v>
      </c>
      <c r="J5" s="11" t="s">
        <v>57</v>
      </c>
      <c r="K5" s="11" t="s">
        <v>62</v>
      </c>
      <c r="L5" s="11" t="s">
        <v>67</v>
      </c>
      <c r="M5" s="11" t="s">
        <v>73</v>
      </c>
    </row>
    <row r="6" spans="1:13" ht="18" x14ac:dyDescent="0.3">
      <c r="A6" s="11" t="s">
        <v>19</v>
      </c>
      <c r="B6" s="11" t="s">
        <v>19</v>
      </c>
      <c r="C6" s="11"/>
      <c r="D6" s="11"/>
      <c r="E6" s="11"/>
      <c r="F6" s="11"/>
      <c r="G6" s="11"/>
      <c r="H6" s="1"/>
      <c r="I6" s="1"/>
      <c r="J6" s="1"/>
      <c r="K6" s="1"/>
      <c r="L6" s="11"/>
      <c r="M6" s="1"/>
    </row>
    <row r="7" spans="1:13" ht="18" x14ac:dyDescent="0.3">
      <c r="A7" s="11" t="s">
        <v>19</v>
      </c>
      <c r="B7" s="11" t="s">
        <v>19</v>
      </c>
      <c r="C7" s="11"/>
      <c r="D7" s="11"/>
      <c r="E7" s="11"/>
      <c r="F7" s="11"/>
      <c r="G7" s="11"/>
      <c r="H7" s="1"/>
      <c r="I7" s="1"/>
      <c r="J7" s="1"/>
      <c r="K7" s="1"/>
      <c r="L7" s="11"/>
      <c r="M7" s="1"/>
    </row>
    <row r="8" spans="1:13" ht="18" x14ac:dyDescent="0.3">
      <c r="A8" s="11" t="s">
        <v>28</v>
      </c>
      <c r="B8" s="11" t="s">
        <v>19</v>
      </c>
      <c r="C8" s="11"/>
      <c r="D8" s="11"/>
      <c r="E8" s="11"/>
      <c r="F8" s="11"/>
      <c r="G8" s="11"/>
      <c r="H8" s="1"/>
      <c r="I8" s="1"/>
      <c r="J8" s="1"/>
      <c r="K8" s="1"/>
      <c r="L8" s="11"/>
      <c r="M8" s="1"/>
    </row>
    <row r="9" spans="1:13" ht="18" x14ac:dyDescent="0.3">
      <c r="A9" s="11" t="s">
        <v>20</v>
      </c>
      <c r="B9" s="11" t="s">
        <v>78</v>
      </c>
      <c r="C9" s="11" t="s">
        <v>25</v>
      </c>
      <c r="D9" s="11" t="s">
        <v>36</v>
      </c>
      <c r="E9" s="11">
        <v>0</v>
      </c>
      <c r="F9" s="11" t="s">
        <v>35</v>
      </c>
      <c r="G9" s="11" t="s">
        <v>39</v>
      </c>
      <c r="H9" s="11" t="s">
        <v>47</v>
      </c>
      <c r="I9" s="11" t="s">
        <v>53</v>
      </c>
      <c r="J9" s="11" t="s">
        <v>58</v>
      </c>
      <c r="K9" s="11" t="s">
        <v>63</v>
      </c>
      <c r="L9" s="11" t="s">
        <v>69</v>
      </c>
      <c r="M9" s="11" t="s">
        <v>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75AA-43C3-448B-8F30-D86662BC9E3E}">
  <dimension ref="A1:F85"/>
  <sheetViews>
    <sheetView tabSelected="1" workbookViewId="0">
      <selection activeCell="D1" sqref="D1"/>
    </sheetView>
  </sheetViews>
  <sheetFormatPr defaultRowHeight="15.6" x14ac:dyDescent="0.3"/>
  <cols>
    <col min="1" max="1" width="8.88671875" style="12"/>
    <col min="2" max="2" width="7.109375" style="14" customWidth="1"/>
    <col min="3" max="3" width="6" style="13" customWidth="1"/>
    <col min="4" max="4" width="6.21875" style="13" customWidth="1"/>
    <col min="5" max="5" width="13.6640625" style="13" customWidth="1"/>
    <col min="6" max="6" width="13.21875" style="13" customWidth="1"/>
    <col min="7" max="16384" width="8.88671875" style="12"/>
  </cols>
  <sheetData>
    <row r="1" spans="1:6" x14ac:dyDescent="0.3">
      <c r="A1" s="15" t="s">
        <v>89</v>
      </c>
      <c r="B1" s="16" t="s">
        <v>87</v>
      </c>
      <c r="C1" s="16" t="s">
        <v>1</v>
      </c>
      <c r="D1" s="16" t="s">
        <v>90</v>
      </c>
      <c r="E1" s="16" t="s">
        <v>91</v>
      </c>
      <c r="F1" s="16" t="s">
        <v>92</v>
      </c>
    </row>
    <row r="2" spans="1:6" x14ac:dyDescent="0.3">
      <c r="A2" s="15">
        <v>1</v>
      </c>
      <c r="B2" s="17">
        <v>16</v>
      </c>
      <c r="C2" s="18">
        <v>0</v>
      </c>
      <c r="D2" s="18">
        <v>2.6666667000000002E-2</v>
      </c>
      <c r="E2" s="18">
        <v>1</v>
      </c>
      <c r="F2" s="18">
        <v>0</v>
      </c>
    </row>
    <row r="3" spans="1:6" x14ac:dyDescent="0.3">
      <c r="A3" s="15">
        <v>2</v>
      </c>
      <c r="B3" s="17">
        <v>16</v>
      </c>
      <c r="C3" s="18">
        <v>20</v>
      </c>
      <c r="D3" s="18">
        <v>0.123333333</v>
      </c>
      <c r="E3" s="18">
        <v>1.6060267859999999</v>
      </c>
      <c r="F3" s="18">
        <v>2.3115970999999999E-2</v>
      </c>
    </row>
    <row r="4" spans="1:6" x14ac:dyDescent="0.3">
      <c r="A4" s="15">
        <v>3</v>
      </c>
      <c r="B4" s="17">
        <v>16</v>
      </c>
      <c r="C4" s="18">
        <v>40</v>
      </c>
      <c r="D4" s="18">
        <v>0.31666666700000001</v>
      </c>
      <c r="E4" s="18">
        <v>2.6227678569999999</v>
      </c>
      <c r="F4" s="18">
        <v>9.7326087000000006E-2</v>
      </c>
    </row>
    <row r="5" spans="1:6" x14ac:dyDescent="0.3">
      <c r="A5" s="15">
        <v>4</v>
      </c>
      <c r="B5" s="17">
        <v>16</v>
      </c>
      <c r="C5" s="18">
        <v>60</v>
      </c>
      <c r="D5" s="18">
        <v>0.45</v>
      </c>
      <c r="E5" s="18">
        <v>3.0948660710000002</v>
      </c>
      <c r="F5" s="18">
        <v>0.151308161</v>
      </c>
    </row>
    <row r="6" spans="1:6" x14ac:dyDescent="0.3">
      <c r="A6" s="15">
        <v>5</v>
      </c>
      <c r="B6" s="17">
        <v>16</v>
      </c>
      <c r="C6" s="18">
        <v>80</v>
      </c>
      <c r="D6" s="18">
        <v>0.52666666699999998</v>
      </c>
      <c r="E6" s="18">
        <v>3.2912946430000001</v>
      </c>
      <c r="F6" s="18">
        <v>0.182132285</v>
      </c>
    </row>
    <row r="7" spans="1:6" x14ac:dyDescent="0.3">
      <c r="A7" s="15">
        <v>6</v>
      </c>
      <c r="B7" s="17">
        <v>16</v>
      </c>
      <c r="C7" s="18">
        <v>100</v>
      </c>
      <c r="D7" s="18">
        <v>0.60333333300000003</v>
      </c>
      <c r="E7" s="18">
        <v>3.5223214289999998</v>
      </c>
      <c r="F7" s="18">
        <v>0.21461849799999999</v>
      </c>
    </row>
    <row r="8" spans="1:6" x14ac:dyDescent="0.3">
      <c r="A8" s="15">
        <v>7</v>
      </c>
      <c r="B8" s="17">
        <v>16</v>
      </c>
      <c r="C8" s="18">
        <v>120</v>
      </c>
      <c r="D8" s="18">
        <v>0.64</v>
      </c>
      <c r="E8" s="18">
        <v>3.8537946430000001</v>
      </c>
      <c r="F8" s="18">
        <v>0.23542587400000001</v>
      </c>
    </row>
    <row r="9" spans="1:6" x14ac:dyDescent="0.3">
      <c r="A9" s="15">
        <v>8</v>
      </c>
      <c r="B9" s="17">
        <v>16</v>
      </c>
      <c r="C9" s="18">
        <v>140</v>
      </c>
      <c r="D9" s="18">
        <v>0.69</v>
      </c>
      <c r="E9" s="18">
        <v>3.9430803569999999</v>
      </c>
      <c r="F9" s="18">
        <v>0.255832691</v>
      </c>
    </row>
    <row r="10" spans="1:6" x14ac:dyDescent="0.3">
      <c r="A10" s="15">
        <v>9</v>
      </c>
      <c r="B10" s="17">
        <v>16</v>
      </c>
      <c r="C10" s="18">
        <v>160</v>
      </c>
      <c r="D10" s="18">
        <v>0.75333333300000005</v>
      </c>
      <c r="E10" s="18">
        <v>4.0491071429999996</v>
      </c>
      <c r="F10" s="18">
        <v>0.28180032399999999</v>
      </c>
    </row>
    <row r="11" spans="1:6" x14ac:dyDescent="0.3">
      <c r="A11" s="15">
        <v>10</v>
      </c>
      <c r="B11" s="17">
        <v>16</v>
      </c>
      <c r="C11" s="18">
        <v>180</v>
      </c>
      <c r="D11" s="18">
        <v>0.8</v>
      </c>
      <c r="E11" s="18">
        <v>4.3325892860000002</v>
      </c>
      <c r="F11" s="18">
        <v>0.30567939399999999</v>
      </c>
    </row>
    <row r="12" spans="1:6" x14ac:dyDescent="0.3">
      <c r="A12" s="15">
        <v>11</v>
      </c>
      <c r="B12" s="17">
        <v>16</v>
      </c>
      <c r="C12" s="18">
        <v>200</v>
      </c>
      <c r="D12" s="18">
        <v>0.83333333300000001</v>
      </c>
      <c r="E12" s="18">
        <v>4.2421875</v>
      </c>
      <c r="F12" s="18">
        <v>0.31637970799999998</v>
      </c>
    </row>
    <row r="13" spans="1:6" x14ac:dyDescent="0.3">
      <c r="A13" s="15">
        <v>12</v>
      </c>
      <c r="B13" s="17">
        <v>16</v>
      </c>
      <c r="C13" s="18">
        <v>220</v>
      </c>
      <c r="D13" s="18">
        <v>0.86333333300000004</v>
      </c>
      <c r="E13" s="18">
        <v>4.3046875</v>
      </c>
      <c r="F13" s="18">
        <v>0.32923734500000001</v>
      </c>
    </row>
    <row r="14" spans="1:6" x14ac:dyDescent="0.3">
      <c r="A14" s="15">
        <v>13</v>
      </c>
      <c r="B14" s="17">
        <v>16</v>
      </c>
      <c r="C14" s="18">
        <v>240</v>
      </c>
      <c r="D14" s="18">
        <v>0.91666666699999999</v>
      </c>
      <c r="E14" s="18">
        <v>4.4642857139999998</v>
      </c>
      <c r="F14" s="18">
        <v>0.35335844999999999</v>
      </c>
    </row>
    <row r="15" spans="1:6" x14ac:dyDescent="0.3">
      <c r="A15" s="15">
        <v>14</v>
      </c>
      <c r="B15" s="17">
        <v>16</v>
      </c>
      <c r="C15" s="18">
        <v>260</v>
      </c>
      <c r="D15" s="18">
        <v>0.94</v>
      </c>
      <c r="E15" s="18">
        <v>4.6819196429999996</v>
      </c>
      <c r="F15" s="18">
        <v>0.36721562099999999</v>
      </c>
    </row>
    <row r="16" spans="1:6" x14ac:dyDescent="0.3">
      <c r="A16" s="15">
        <v>15</v>
      </c>
      <c r="B16" s="17">
        <v>14</v>
      </c>
      <c r="C16" s="18">
        <v>0</v>
      </c>
      <c r="D16" s="18">
        <v>4.3333333000000002E-2</v>
      </c>
      <c r="E16" s="18">
        <v>1</v>
      </c>
      <c r="F16" s="18">
        <v>0</v>
      </c>
    </row>
    <row r="17" spans="1:6" x14ac:dyDescent="0.3">
      <c r="A17" s="15">
        <v>16</v>
      </c>
      <c r="B17" s="17">
        <v>14</v>
      </c>
      <c r="C17" s="18">
        <v>20</v>
      </c>
      <c r="D17" s="18">
        <v>0.15666666700000001</v>
      </c>
      <c r="E17" s="18">
        <v>1.730934019</v>
      </c>
      <c r="F17" s="18">
        <v>3.2958995999999997E-2</v>
      </c>
    </row>
    <row r="18" spans="1:6" x14ac:dyDescent="0.3">
      <c r="A18" s="15">
        <v>17</v>
      </c>
      <c r="B18" s="17">
        <v>14</v>
      </c>
      <c r="C18" s="18">
        <v>40</v>
      </c>
      <c r="D18" s="18">
        <v>0.39</v>
      </c>
      <c r="E18" s="18">
        <v>2.2922022279999998</v>
      </c>
      <c r="F18" s="18">
        <v>0.109532278</v>
      </c>
    </row>
    <row r="19" spans="1:6" x14ac:dyDescent="0.3">
      <c r="A19" s="15">
        <v>18</v>
      </c>
      <c r="B19" s="17">
        <v>14</v>
      </c>
      <c r="C19" s="18">
        <v>60</v>
      </c>
      <c r="D19" s="18">
        <v>0.49666666700000001</v>
      </c>
      <c r="E19" s="18">
        <v>2.6563838899999999</v>
      </c>
      <c r="F19" s="18">
        <v>0.15428908499999999</v>
      </c>
    </row>
    <row r="20" spans="1:6" x14ac:dyDescent="0.3">
      <c r="A20" s="15">
        <v>19</v>
      </c>
      <c r="B20" s="17">
        <v>14</v>
      </c>
      <c r="C20" s="18">
        <v>80</v>
      </c>
      <c r="D20" s="18">
        <v>0.57666666700000002</v>
      </c>
      <c r="E20" s="18">
        <v>3.0685518420000002</v>
      </c>
      <c r="F20" s="18">
        <v>0.19366800200000001</v>
      </c>
    </row>
    <row r="21" spans="1:6" x14ac:dyDescent="0.3">
      <c r="A21" s="15">
        <v>20</v>
      </c>
      <c r="B21" s="17">
        <v>14</v>
      </c>
      <c r="C21" s="18">
        <v>100</v>
      </c>
      <c r="D21" s="18">
        <v>0.64333333299999995</v>
      </c>
      <c r="E21" s="18">
        <v>3.1790916880000002</v>
      </c>
      <c r="F21" s="18">
        <v>0.219689143</v>
      </c>
    </row>
    <row r="22" spans="1:6" x14ac:dyDescent="0.3">
      <c r="A22" s="15">
        <v>21</v>
      </c>
      <c r="B22" s="17">
        <v>14</v>
      </c>
      <c r="C22" s="18">
        <v>120</v>
      </c>
      <c r="D22" s="18">
        <v>0.71</v>
      </c>
      <c r="E22" s="18">
        <v>3.4087403599999999</v>
      </c>
      <c r="F22" s="18">
        <v>0.249950795</v>
      </c>
    </row>
    <row r="23" spans="1:6" x14ac:dyDescent="0.3">
      <c r="A23" s="15">
        <v>22</v>
      </c>
      <c r="B23" s="17">
        <v>14</v>
      </c>
      <c r="C23" s="18">
        <v>140</v>
      </c>
      <c r="D23" s="18">
        <v>0.75333333300000005</v>
      </c>
      <c r="E23" s="18">
        <v>3.4858611829999999</v>
      </c>
      <c r="F23" s="18">
        <v>0.267641886</v>
      </c>
    </row>
    <row r="24" spans="1:6" x14ac:dyDescent="0.3">
      <c r="A24" s="15">
        <v>23</v>
      </c>
      <c r="B24" s="17">
        <v>14</v>
      </c>
      <c r="C24" s="18">
        <v>160</v>
      </c>
      <c r="D24" s="18">
        <v>0.79</v>
      </c>
      <c r="E24" s="18">
        <v>3.525278492</v>
      </c>
      <c r="F24" s="18">
        <v>0.28193114499999999</v>
      </c>
    </row>
    <row r="25" spans="1:6" x14ac:dyDescent="0.3">
      <c r="A25" s="15">
        <v>24</v>
      </c>
      <c r="B25" s="17">
        <v>14</v>
      </c>
      <c r="C25" s="18">
        <v>180</v>
      </c>
      <c r="D25" s="18">
        <v>0.83</v>
      </c>
      <c r="E25" s="18">
        <v>3.6006855180000001</v>
      </c>
      <c r="F25" s="18">
        <v>0.29866261199999999</v>
      </c>
    </row>
    <row r="26" spans="1:6" x14ac:dyDescent="0.3">
      <c r="A26" s="15">
        <v>25</v>
      </c>
      <c r="B26" s="17">
        <v>14</v>
      </c>
      <c r="C26" s="18">
        <v>200</v>
      </c>
      <c r="D26" s="18">
        <v>0.85</v>
      </c>
      <c r="E26" s="18">
        <v>3.618680377</v>
      </c>
      <c r="F26" s="18">
        <v>0.30644413599999998</v>
      </c>
    </row>
    <row r="27" spans="1:6" x14ac:dyDescent="0.3">
      <c r="A27" s="15">
        <v>26</v>
      </c>
      <c r="B27" s="17">
        <v>14</v>
      </c>
      <c r="C27" s="18">
        <v>220</v>
      </c>
      <c r="D27" s="18">
        <v>0.89666666699999997</v>
      </c>
      <c r="E27" s="18">
        <v>3.685518423</v>
      </c>
      <c r="F27" s="18">
        <v>0.32550727499999998</v>
      </c>
    </row>
    <row r="28" spans="1:6" x14ac:dyDescent="0.3">
      <c r="A28" s="15">
        <v>27</v>
      </c>
      <c r="B28" s="17">
        <v>14</v>
      </c>
      <c r="C28" s="18">
        <v>240</v>
      </c>
      <c r="D28" s="18">
        <v>0.90333333299999996</v>
      </c>
      <c r="E28" s="18">
        <v>3.7737789199999998</v>
      </c>
      <c r="F28" s="18">
        <v>0.33078328499999998</v>
      </c>
    </row>
    <row r="29" spans="1:6" x14ac:dyDescent="0.3">
      <c r="A29" s="15">
        <v>28</v>
      </c>
      <c r="B29" s="17">
        <v>14</v>
      </c>
      <c r="C29" s="18">
        <v>260</v>
      </c>
      <c r="D29" s="18">
        <v>0.94666666700000002</v>
      </c>
      <c r="E29" s="18">
        <v>3.829477292</v>
      </c>
      <c r="F29" s="18">
        <v>0.34846882600000001</v>
      </c>
    </row>
    <row r="30" spans="1:6" x14ac:dyDescent="0.3">
      <c r="A30" s="15">
        <v>29</v>
      </c>
      <c r="B30" s="17">
        <v>12</v>
      </c>
      <c r="C30" s="18">
        <v>0</v>
      </c>
      <c r="D30" s="18">
        <v>4.6666667000000002E-2</v>
      </c>
      <c r="E30" s="18">
        <v>1</v>
      </c>
      <c r="F30" s="18">
        <v>0</v>
      </c>
    </row>
    <row r="31" spans="1:6" x14ac:dyDescent="0.3">
      <c r="A31" s="15">
        <v>30</v>
      </c>
      <c r="B31" s="17">
        <v>12</v>
      </c>
      <c r="C31" s="18">
        <v>20</v>
      </c>
      <c r="D31" s="18">
        <v>0.24</v>
      </c>
      <c r="E31" s="18">
        <v>1.710181137</v>
      </c>
      <c r="F31" s="18">
        <v>4.9264635000000001E-2</v>
      </c>
    </row>
    <row r="32" spans="1:6" x14ac:dyDescent="0.3">
      <c r="A32" s="15">
        <v>31</v>
      </c>
      <c r="B32" s="17">
        <v>12</v>
      </c>
      <c r="C32" s="18">
        <v>40</v>
      </c>
      <c r="D32" s="18">
        <v>0.443333333</v>
      </c>
      <c r="E32" s="18">
        <v>2.1155527799999998</v>
      </c>
      <c r="F32" s="18">
        <v>0.115556899</v>
      </c>
    </row>
    <row r="33" spans="1:6" x14ac:dyDescent="0.3">
      <c r="A33" s="15">
        <v>32</v>
      </c>
      <c r="B33" s="17">
        <v>12</v>
      </c>
      <c r="C33" s="18">
        <v>60</v>
      </c>
      <c r="D33" s="18">
        <v>0.56666666700000001</v>
      </c>
      <c r="E33" s="18">
        <v>2.457838851</v>
      </c>
      <c r="F33" s="18">
        <v>0.16614372199999999</v>
      </c>
    </row>
    <row r="34" spans="1:6" x14ac:dyDescent="0.3">
      <c r="A34" s="15">
        <v>33</v>
      </c>
      <c r="B34" s="17">
        <v>12</v>
      </c>
      <c r="C34" s="18">
        <v>80</v>
      </c>
      <c r="D34" s="18">
        <v>0.65333333299999996</v>
      </c>
      <c r="E34" s="18">
        <v>2.6702061210000001</v>
      </c>
      <c r="F34" s="18">
        <v>0.20200430899999999</v>
      </c>
    </row>
    <row r="35" spans="1:6" x14ac:dyDescent="0.3">
      <c r="A35" s="15">
        <v>34</v>
      </c>
      <c r="B35" s="17">
        <v>12</v>
      </c>
      <c r="C35" s="18">
        <v>100</v>
      </c>
      <c r="D35" s="18">
        <v>0.693333333</v>
      </c>
      <c r="E35" s="18">
        <v>2.8319800119999998</v>
      </c>
      <c r="F35" s="18">
        <v>0.22170392899999999</v>
      </c>
    </row>
    <row r="36" spans="1:6" x14ac:dyDescent="0.3">
      <c r="A36" s="15">
        <v>35</v>
      </c>
      <c r="B36" s="17">
        <v>12</v>
      </c>
      <c r="C36" s="18">
        <v>120</v>
      </c>
      <c r="D36" s="18">
        <v>0.76</v>
      </c>
      <c r="E36" s="18">
        <v>2.908806996</v>
      </c>
      <c r="F36" s="18">
        <v>0.24652533800000001</v>
      </c>
    </row>
    <row r="37" spans="1:6" x14ac:dyDescent="0.3">
      <c r="A37" s="15">
        <v>36</v>
      </c>
      <c r="B37" s="17">
        <v>12</v>
      </c>
      <c r="C37" s="18">
        <v>140</v>
      </c>
      <c r="D37" s="18">
        <v>0.78666666699999999</v>
      </c>
      <c r="E37" s="18">
        <v>3.0268582140000002</v>
      </c>
      <c r="F37" s="18">
        <v>0.26038923800000002</v>
      </c>
    </row>
    <row r="38" spans="1:6" x14ac:dyDescent="0.3">
      <c r="A38" s="15">
        <v>37</v>
      </c>
      <c r="B38" s="17">
        <v>12</v>
      </c>
      <c r="C38" s="18">
        <v>160</v>
      </c>
      <c r="D38" s="18">
        <v>0.82666666700000002</v>
      </c>
      <c r="E38" s="18">
        <v>3.090568395</v>
      </c>
      <c r="F38" s="18">
        <v>0.27641238899999998</v>
      </c>
    </row>
    <row r="39" spans="1:6" x14ac:dyDescent="0.3">
      <c r="A39" s="15">
        <v>38</v>
      </c>
      <c r="B39" s="17">
        <v>12</v>
      </c>
      <c r="C39" s="18">
        <v>180</v>
      </c>
      <c r="D39" s="18">
        <v>0.85333333300000003</v>
      </c>
      <c r="E39" s="18">
        <v>3.1286695820000001</v>
      </c>
      <c r="F39" s="18">
        <v>0.28699105400000002</v>
      </c>
    </row>
    <row r="40" spans="1:6" x14ac:dyDescent="0.3">
      <c r="A40" s="15">
        <v>39</v>
      </c>
      <c r="B40" s="17">
        <v>12</v>
      </c>
      <c r="C40" s="18">
        <v>200</v>
      </c>
      <c r="D40" s="18">
        <v>0.88666666699999996</v>
      </c>
      <c r="E40" s="18">
        <v>3.1611492819999998</v>
      </c>
      <c r="F40" s="18">
        <v>0.29964102100000001</v>
      </c>
    </row>
    <row r="41" spans="1:6" x14ac:dyDescent="0.3">
      <c r="A41" s="15">
        <v>40</v>
      </c>
      <c r="B41" s="17">
        <v>12</v>
      </c>
      <c r="C41" s="18">
        <v>220</v>
      </c>
      <c r="D41" s="18">
        <v>0.89666666699999997</v>
      </c>
      <c r="E41" s="18">
        <v>3.173016864</v>
      </c>
      <c r="F41" s="18">
        <v>0.30354485599999997</v>
      </c>
    </row>
    <row r="42" spans="1:6" x14ac:dyDescent="0.3">
      <c r="A42" s="15">
        <v>41</v>
      </c>
      <c r="B42" s="17">
        <v>12</v>
      </c>
      <c r="C42" s="18">
        <v>240</v>
      </c>
      <c r="D42" s="18">
        <v>0.91666666699999999</v>
      </c>
      <c r="E42" s="18">
        <v>3.2036227359999998</v>
      </c>
      <c r="F42" s="18">
        <v>0.31167967400000002</v>
      </c>
    </row>
    <row r="43" spans="1:6" x14ac:dyDescent="0.3">
      <c r="A43" s="15">
        <v>42</v>
      </c>
      <c r="B43" s="17">
        <v>12</v>
      </c>
      <c r="C43" s="18">
        <v>260</v>
      </c>
      <c r="D43" s="18">
        <v>0.95666666700000003</v>
      </c>
      <c r="E43" s="18">
        <v>3.2860712049999998</v>
      </c>
      <c r="F43" s="18">
        <v>0.32898391300000002</v>
      </c>
    </row>
    <row r="44" spans="1:6" x14ac:dyDescent="0.3">
      <c r="A44" s="15">
        <v>43</v>
      </c>
      <c r="B44" s="17">
        <v>10</v>
      </c>
      <c r="C44" s="18">
        <v>0</v>
      </c>
      <c r="D44" s="18">
        <v>4.3333333000000002E-2</v>
      </c>
      <c r="E44" s="18">
        <v>1</v>
      </c>
      <c r="F44" s="18">
        <v>0</v>
      </c>
    </row>
    <row r="45" spans="1:6" x14ac:dyDescent="0.3">
      <c r="A45" s="15">
        <v>44</v>
      </c>
      <c r="B45" s="17">
        <v>10</v>
      </c>
      <c r="C45" s="18">
        <v>20</v>
      </c>
      <c r="D45" s="18">
        <v>0.306666667</v>
      </c>
      <c r="E45" s="18">
        <v>1.4611111109999999</v>
      </c>
      <c r="F45" s="18">
        <v>4.7106136999999999E-2</v>
      </c>
    </row>
    <row r="46" spans="1:6" x14ac:dyDescent="0.3">
      <c r="A46" s="15">
        <v>45</v>
      </c>
      <c r="B46" s="17">
        <v>10</v>
      </c>
      <c r="C46" s="18">
        <v>40</v>
      </c>
      <c r="D46" s="18">
        <v>0.50666666699999996</v>
      </c>
      <c r="E46" s="18">
        <v>1.82008547</v>
      </c>
      <c r="F46" s="18">
        <v>0.11113812000000001</v>
      </c>
    </row>
    <row r="47" spans="1:6" x14ac:dyDescent="0.3">
      <c r="A47" s="15">
        <v>46</v>
      </c>
      <c r="B47" s="17">
        <v>10</v>
      </c>
      <c r="C47" s="18">
        <v>60</v>
      </c>
      <c r="D47" s="18">
        <v>0.62666666699999996</v>
      </c>
      <c r="E47" s="18">
        <v>2.0615384620000001</v>
      </c>
      <c r="F47" s="18">
        <v>0.157101032</v>
      </c>
    </row>
    <row r="48" spans="1:6" x14ac:dyDescent="0.3">
      <c r="A48" s="15">
        <v>47</v>
      </c>
      <c r="B48" s="17">
        <v>10</v>
      </c>
      <c r="C48" s="18">
        <v>80</v>
      </c>
      <c r="D48" s="18">
        <v>0.68</v>
      </c>
      <c r="E48" s="18">
        <v>2.1521367520000001</v>
      </c>
      <c r="F48" s="18">
        <v>0.17723433</v>
      </c>
    </row>
    <row r="49" spans="1:6" x14ac:dyDescent="0.3">
      <c r="A49" s="15">
        <v>48</v>
      </c>
      <c r="B49" s="17">
        <v>10</v>
      </c>
      <c r="C49" s="18">
        <v>100</v>
      </c>
      <c r="D49" s="18">
        <v>0.74333333300000004</v>
      </c>
      <c r="E49" s="18">
        <v>2.2803418799999999</v>
      </c>
      <c r="F49" s="18">
        <v>0.20319926199999999</v>
      </c>
    </row>
    <row r="50" spans="1:6" x14ac:dyDescent="0.3">
      <c r="A50" s="15">
        <v>49</v>
      </c>
      <c r="B50" s="17">
        <v>10</v>
      </c>
      <c r="C50" s="18">
        <v>120</v>
      </c>
      <c r="D50" s="18">
        <v>0.796666667</v>
      </c>
      <c r="E50" s="18">
        <v>2.4008547010000001</v>
      </c>
      <c r="F50" s="18">
        <v>0.226319718</v>
      </c>
    </row>
    <row r="51" spans="1:6" x14ac:dyDescent="0.3">
      <c r="A51" s="15">
        <v>50</v>
      </c>
      <c r="B51" s="17">
        <v>10</v>
      </c>
      <c r="C51" s="18">
        <v>140</v>
      </c>
      <c r="D51" s="18">
        <v>0.82666666700000002</v>
      </c>
      <c r="E51" s="18">
        <v>2.423076923</v>
      </c>
      <c r="F51" s="18">
        <v>0.236380218</v>
      </c>
    </row>
    <row r="52" spans="1:6" x14ac:dyDescent="0.3">
      <c r="A52" s="15">
        <v>51</v>
      </c>
      <c r="B52" s="17">
        <v>10</v>
      </c>
      <c r="C52" s="18">
        <v>160</v>
      </c>
      <c r="D52" s="18">
        <v>0.86</v>
      </c>
      <c r="E52" s="18">
        <v>2.4790598290000001</v>
      </c>
      <c r="F52" s="18">
        <v>0.249815332</v>
      </c>
    </row>
    <row r="53" spans="1:6" x14ac:dyDescent="0.3">
      <c r="A53" s="15">
        <v>52</v>
      </c>
      <c r="B53" s="17">
        <v>10</v>
      </c>
      <c r="C53" s="18">
        <v>180</v>
      </c>
      <c r="D53" s="18">
        <v>0.87666666699999996</v>
      </c>
      <c r="E53" s="18">
        <v>2.5047008549999998</v>
      </c>
      <c r="F53" s="18">
        <v>0.25641990199999998</v>
      </c>
    </row>
    <row r="54" spans="1:6" x14ac:dyDescent="0.3">
      <c r="A54" s="15">
        <v>53</v>
      </c>
      <c r="B54" s="17">
        <v>10</v>
      </c>
      <c r="C54" s="18">
        <v>200</v>
      </c>
      <c r="D54" s="18">
        <v>0.91</v>
      </c>
      <c r="E54" s="18">
        <v>2.5264957259999998</v>
      </c>
      <c r="F54" s="18">
        <v>0.267696194</v>
      </c>
    </row>
    <row r="55" spans="1:6" x14ac:dyDescent="0.3">
      <c r="A55" s="15">
        <v>54</v>
      </c>
      <c r="B55" s="17">
        <v>10</v>
      </c>
      <c r="C55" s="18">
        <v>220</v>
      </c>
      <c r="D55" s="18">
        <v>0.92</v>
      </c>
      <c r="E55" s="18">
        <v>2.5824786319999999</v>
      </c>
      <c r="F55" s="18">
        <v>0.274482585</v>
      </c>
    </row>
    <row r="56" spans="1:6" x14ac:dyDescent="0.3">
      <c r="A56" s="15">
        <v>55</v>
      </c>
      <c r="B56" s="17">
        <v>10</v>
      </c>
      <c r="C56" s="18">
        <v>240</v>
      </c>
      <c r="D56" s="18">
        <v>0.95</v>
      </c>
      <c r="E56" s="18">
        <v>2.5982905980000002</v>
      </c>
      <c r="F56" s="18">
        <v>0.28452343099999999</v>
      </c>
    </row>
    <row r="57" spans="1:6" x14ac:dyDescent="0.3">
      <c r="A57" s="15">
        <v>56</v>
      </c>
      <c r="B57" s="17">
        <v>10</v>
      </c>
      <c r="C57" s="18">
        <v>260</v>
      </c>
      <c r="D57" s="18">
        <v>0.97333333300000002</v>
      </c>
      <c r="E57" s="18">
        <v>2.6205128210000002</v>
      </c>
      <c r="F57" s="18">
        <v>0.293058926</v>
      </c>
    </row>
    <row r="58" spans="1:6" x14ac:dyDescent="0.3">
      <c r="A58" s="15">
        <v>57</v>
      </c>
      <c r="B58" s="17">
        <v>8</v>
      </c>
      <c r="C58" s="18">
        <v>0</v>
      </c>
      <c r="D58" s="18">
        <v>2.6666667000000002E-2</v>
      </c>
      <c r="E58" s="18">
        <v>1</v>
      </c>
      <c r="F58" s="18">
        <v>0</v>
      </c>
    </row>
    <row r="59" spans="1:6" x14ac:dyDescent="0.3">
      <c r="A59" s="15">
        <v>58</v>
      </c>
      <c r="B59" s="17">
        <v>8</v>
      </c>
      <c r="C59" s="18">
        <v>20</v>
      </c>
      <c r="D59" s="18">
        <v>0.41333333300000002</v>
      </c>
      <c r="E59" s="18">
        <v>1.385364496</v>
      </c>
      <c r="F59" s="18">
        <v>5.6957216999999997E-2</v>
      </c>
    </row>
    <row r="60" spans="1:6" x14ac:dyDescent="0.3">
      <c r="A60" s="15">
        <v>59</v>
      </c>
      <c r="B60" s="17">
        <v>8</v>
      </c>
      <c r="C60" s="18">
        <v>40</v>
      </c>
      <c r="D60" s="18">
        <v>0.60666666700000005</v>
      </c>
      <c r="E60" s="18">
        <v>1.682526433</v>
      </c>
      <c r="F60" s="18">
        <v>0.12191595</v>
      </c>
    </row>
    <row r="61" spans="1:6" x14ac:dyDescent="0.3">
      <c r="A61" s="15">
        <v>60</v>
      </c>
      <c r="B61" s="17">
        <v>8</v>
      </c>
      <c r="C61" s="18">
        <v>60</v>
      </c>
      <c r="D61" s="18">
        <v>0.70666666700000003</v>
      </c>
      <c r="E61" s="18">
        <v>1.8508625489999999</v>
      </c>
      <c r="F61" s="18">
        <v>0.16093695199999999</v>
      </c>
    </row>
    <row r="62" spans="1:6" x14ac:dyDescent="0.3">
      <c r="A62" s="15">
        <v>61</v>
      </c>
      <c r="B62" s="17">
        <v>8</v>
      </c>
      <c r="C62" s="18">
        <v>80</v>
      </c>
      <c r="D62" s="18">
        <v>0.76666666699999997</v>
      </c>
      <c r="E62" s="18">
        <v>1.926265999</v>
      </c>
      <c r="F62" s="18">
        <v>0.18263457499999999</v>
      </c>
    </row>
    <row r="63" spans="1:6" x14ac:dyDescent="0.3">
      <c r="A63" s="15">
        <v>62</v>
      </c>
      <c r="B63" s="17">
        <v>8</v>
      </c>
      <c r="C63" s="18">
        <v>100</v>
      </c>
      <c r="D63" s="18">
        <v>0.81</v>
      </c>
      <c r="E63" s="18">
        <v>2.0130773510000002</v>
      </c>
      <c r="F63" s="18">
        <v>0.201941282</v>
      </c>
    </row>
    <row r="64" spans="1:6" x14ac:dyDescent="0.3">
      <c r="A64" s="15">
        <v>63</v>
      </c>
      <c r="B64" s="17">
        <v>8</v>
      </c>
      <c r="C64" s="18">
        <v>120</v>
      </c>
      <c r="D64" s="18">
        <v>0.85</v>
      </c>
      <c r="E64" s="18">
        <v>2.0531441290000001</v>
      </c>
      <c r="F64" s="18">
        <v>0.21599597000000001</v>
      </c>
    </row>
    <row r="65" spans="1:6" x14ac:dyDescent="0.3">
      <c r="A65" s="15">
        <v>64</v>
      </c>
      <c r="B65" s="17">
        <v>8</v>
      </c>
      <c r="C65" s="18">
        <v>140</v>
      </c>
      <c r="D65" s="18">
        <v>0.87333333300000004</v>
      </c>
      <c r="E65" s="18">
        <v>2.098219254</v>
      </c>
      <c r="F65" s="18">
        <v>0.22645243200000001</v>
      </c>
    </row>
    <row r="66" spans="1:6" x14ac:dyDescent="0.3">
      <c r="A66" s="15">
        <v>65</v>
      </c>
      <c r="B66" s="17">
        <v>8</v>
      </c>
      <c r="C66" s="18">
        <v>160</v>
      </c>
      <c r="D66" s="18">
        <v>0.90333333299999996</v>
      </c>
      <c r="E66" s="18">
        <v>2.1174179190000002</v>
      </c>
      <c r="F66" s="18">
        <v>0.23616526299999999</v>
      </c>
    </row>
    <row r="67" spans="1:6" x14ac:dyDescent="0.3">
      <c r="A67" s="15">
        <v>66</v>
      </c>
      <c r="B67" s="17">
        <v>8</v>
      </c>
      <c r="C67" s="18">
        <v>180</v>
      </c>
      <c r="D67" s="18">
        <v>0.91666666699999999</v>
      </c>
      <c r="E67" s="18">
        <v>2.1374513080000002</v>
      </c>
      <c r="F67" s="18">
        <v>0.24166131199999999</v>
      </c>
    </row>
    <row r="68" spans="1:6" x14ac:dyDescent="0.3">
      <c r="A68" s="15">
        <v>67</v>
      </c>
      <c r="B68" s="17">
        <v>8</v>
      </c>
      <c r="C68" s="18">
        <v>200</v>
      </c>
      <c r="D68" s="18">
        <v>0.94666666700000002</v>
      </c>
      <c r="E68" s="18">
        <v>2.1694490819999999</v>
      </c>
      <c r="F68" s="18">
        <v>0.25280654000000002</v>
      </c>
    </row>
    <row r="69" spans="1:6" x14ac:dyDescent="0.3">
      <c r="A69" s="15">
        <v>68</v>
      </c>
      <c r="B69" s="17">
        <v>8</v>
      </c>
      <c r="C69" s="18">
        <v>220</v>
      </c>
      <c r="D69" s="18">
        <v>0.95</v>
      </c>
      <c r="E69" s="18">
        <v>2.198107958</v>
      </c>
      <c r="F69" s="18">
        <v>0.25652525199999998</v>
      </c>
    </row>
    <row r="70" spans="1:6" x14ac:dyDescent="0.3">
      <c r="A70" s="15">
        <v>69</v>
      </c>
      <c r="B70" s="17">
        <v>8</v>
      </c>
      <c r="C70" s="18">
        <v>240</v>
      </c>
      <c r="D70" s="18">
        <v>0.97333333300000002</v>
      </c>
      <c r="E70" s="18">
        <v>2.207568169</v>
      </c>
      <c r="F70" s="18">
        <v>0.26376598200000001</v>
      </c>
    </row>
    <row r="71" spans="1:6" x14ac:dyDescent="0.3">
      <c r="A71" s="15">
        <v>70</v>
      </c>
      <c r="B71" s="17">
        <v>8</v>
      </c>
      <c r="C71" s="18">
        <v>260</v>
      </c>
      <c r="D71" s="18">
        <v>0.98666666700000005</v>
      </c>
      <c r="E71" s="18">
        <v>2.2289927660000002</v>
      </c>
      <c r="F71" s="18">
        <v>0.26950754700000001</v>
      </c>
    </row>
    <row r="72" spans="1:6" x14ac:dyDescent="0.3">
      <c r="A72" s="15">
        <v>71</v>
      </c>
      <c r="B72" s="17">
        <v>6</v>
      </c>
      <c r="C72" s="18">
        <v>0</v>
      </c>
      <c r="D72" s="18">
        <v>2.3333333000000001E-2</v>
      </c>
      <c r="E72" s="18">
        <v>1</v>
      </c>
      <c r="F72" s="18">
        <v>0</v>
      </c>
    </row>
    <row r="73" spans="1:6" x14ac:dyDescent="0.3">
      <c r="A73" s="15">
        <v>72</v>
      </c>
      <c r="B73" s="17">
        <v>6</v>
      </c>
      <c r="C73" s="18">
        <v>20</v>
      </c>
      <c r="D73" s="18">
        <v>0.486666667</v>
      </c>
      <c r="E73" s="18">
        <v>1.089375</v>
      </c>
      <c r="F73" s="18">
        <v>1.9744471999999999E-2</v>
      </c>
    </row>
    <row r="74" spans="1:6" x14ac:dyDescent="0.3">
      <c r="A74" s="15">
        <v>73</v>
      </c>
      <c r="B74" s="17">
        <v>6</v>
      </c>
      <c r="C74" s="18">
        <v>40</v>
      </c>
      <c r="D74" s="18">
        <v>0.67</v>
      </c>
      <c r="E74" s="18">
        <v>1.2621875</v>
      </c>
      <c r="F74" s="18">
        <v>6.8837341999999996E-2</v>
      </c>
    </row>
    <row r="75" spans="1:6" x14ac:dyDescent="0.3">
      <c r="A75" s="15">
        <v>74</v>
      </c>
      <c r="B75" s="17">
        <v>6</v>
      </c>
      <c r="C75" s="18">
        <v>60</v>
      </c>
      <c r="D75" s="18">
        <v>0.76</v>
      </c>
      <c r="E75" s="18">
        <v>1.349375</v>
      </c>
      <c r="F75" s="18">
        <v>9.7329620000000006E-2</v>
      </c>
    </row>
    <row r="76" spans="1:6" x14ac:dyDescent="0.3">
      <c r="A76" s="15">
        <v>75</v>
      </c>
      <c r="B76" s="17">
        <v>6</v>
      </c>
      <c r="C76" s="18">
        <v>80</v>
      </c>
      <c r="D76" s="18">
        <v>0.81333333299999999</v>
      </c>
      <c r="E76" s="18">
        <v>1.4060937499999999</v>
      </c>
      <c r="F76" s="18">
        <v>0.116186997</v>
      </c>
    </row>
    <row r="77" spans="1:6" x14ac:dyDescent="0.3">
      <c r="A77" s="15">
        <v>76</v>
      </c>
      <c r="B77" s="17">
        <v>6</v>
      </c>
      <c r="C77" s="18">
        <v>100</v>
      </c>
      <c r="D77" s="18">
        <v>0.84666666700000004</v>
      </c>
      <c r="E77" s="18">
        <v>1.44921875</v>
      </c>
      <c r="F77" s="18">
        <v>0.12981236800000001</v>
      </c>
    </row>
    <row r="78" spans="1:6" x14ac:dyDescent="0.3">
      <c r="A78" s="15">
        <v>77</v>
      </c>
      <c r="B78" s="17">
        <v>6</v>
      </c>
      <c r="C78" s="18">
        <v>120</v>
      </c>
      <c r="D78" s="18">
        <v>0.87</v>
      </c>
      <c r="E78" s="18">
        <v>1.4828125000000001</v>
      </c>
      <c r="F78" s="18">
        <v>0.14011770100000001</v>
      </c>
    </row>
    <row r="79" spans="1:6" x14ac:dyDescent="0.3">
      <c r="A79" s="15">
        <v>78</v>
      </c>
      <c r="B79" s="17">
        <v>6</v>
      </c>
      <c r="C79" s="18">
        <v>140</v>
      </c>
      <c r="D79" s="18">
        <v>0.90333333299999996</v>
      </c>
      <c r="E79" s="18">
        <v>1.5037499999999999</v>
      </c>
      <c r="F79" s="18">
        <v>0.149682126</v>
      </c>
    </row>
    <row r="80" spans="1:6" x14ac:dyDescent="0.3">
      <c r="A80" s="15">
        <v>79</v>
      </c>
      <c r="B80" s="17">
        <v>6</v>
      </c>
      <c r="C80" s="18">
        <v>160</v>
      </c>
      <c r="D80" s="18">
        <v>0.91666666699999999</v>
      </c>
      <c r="E80" s="18">
        <v>1.5220312499999999</v>
      </c>
      <c r="F80" s="18">
        <v>0.155513347</v>
      </c>
    </row>
    <row r="81" spans="1:6" x14ac:dyDescent="0.3">
      <c r="A81" s="15">
        <v>80</v>
      </c>
      <c r="B81" s="17">
        <v>6</v>
      </c>
      <c r="C81" s="18">
        <v>180</v>
      </c>
      <c r="D81" s="18">
        <v>0.93333333299999999</v>
      </c>
      <c r="E81" s="18">
        <v>1.5428124999999999</v>
      </c>
      <c r="F81" s="18">
        <v>0.162426774</v>
      </c>
    </row>
    <row r="82" spans="1:6" x14ac:dyDescent="0.3">
      <c r="A82" s="15">
        <v>81</v>
      </c>
      <c r="B82" s="17">
        <v>6</v>
      </c>
      <c r="C82" s="18">
        <v>200</v>
      </c>
      <c r="D82" s="18">
        <v>0.953333333</v>
      </c>
      <c r="E82" s="18">
        <v>1.5515625</v>
      </c>
      <c r="F82" s="18">
        <v>0.16763115100000001</v>
      </c>
    </row>
    <row r="83" spans="1:6" x14ac:dyDescent="0.3">
      <c r="A83" s="15">
        <v>82</v>
      </c>
      <c r="B83" s="17">
        <v>6</v>
      </c>
      <c r="C83" s="18">
        <v>220</v>
      </c>
      <c r="D83" s="18">
        <v>0.96333333300000001</v>
      </c>
      <c r="E83" s="18">
        <v>1.5674999999999999</v>
      </c>
      <c r="F83" s="18">
        <v>0.17251227</v>
      </c>
    </row>
    <row r="84" spans="1:6" x14ac:dyDescent="0.3">
      <c r="A84" s="15">
        <v>83</v>
      </c>
      <c r="B84" s="17">
        <v>6</v>
      </c>
      <c r="C84" s="18">
        <v>240</v>
      </c>
      <c r="D84" s="18">
        <v>0.98666666700000005</v>
      </c>
      <c r="E84" s="18">
        <v>1.589375</v>
      </c>
      <c r="F84" s="18">
        <v>0.18097627099999999</v>
      </c>
    </row>
    <row r="85" spans="1:6" x14ac:dyDescent="0.3">
      <c r="A85" s="15">
        <v>84</v>
      </c>
      <c r="B85" s="17">
        <v>6</v>
      </c>
      <c r="C85" s="18">
        <v>260</v>
      </c>
      <c r="D85" s="18">
        <v>0.99333333300000004</v>
      </c>
      <c r="E85" s="18">
        <v>1.6070312499999999</v>
      </c>
      <c r="F85" s="18">
        <v>0.185595806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important for phd</vt:lpstr>
      <vt:lpstr>Sheet3</vt:lpstr>
      <vt:lpstr>Working_Data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2026-09-22T19:26:18Z</dcterms:modified>
</cp:coreProperties>
</file>